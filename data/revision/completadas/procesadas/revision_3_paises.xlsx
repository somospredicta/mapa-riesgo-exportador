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giulianodoffo/Downloads/"/>
    </mc:Choice>
  </mc:AlternateContent>
  <xr:revisionPtr revIDLastSave="0" documentId="13_ncr:1_{031E9319-21DD-2147-B85F-0B67ADC7CC20}" xr6:coauthVersionLast="47" xr6:coauthVersionMax="47" xr10:uidLastSave="{00000000-0000-0000-0000-000000000000}"/>
  <bookViews>
    <workbookView xWindow="0" yWindow="0" windowWidth="28800" windowHeight="18000" xr2:uid="{00000000-000D-0000-FFFF-FFFF00000000}"/>
  </bookViews>
  <sheets>
    <sheet name="Instrucciones" sheetId="1" r:id="rId1"/>
    <sheet name="Revisión completa" sheetId="2" r:id="rId2"/>
    <sheet name="Muestreo" sheetId="3" r:id="rId3"/>
    <sheet name="Resto" sheetId="4" r:id="rId4"/>
  </sheets>
  <definedNames>
    <definedName name="_xlnm._FilterDatabase" localSheetId="2" hidden="1">Muestreo!$A$1:$O$49</definedName>
    <definedName name="_xlnm._FilterDatabase" localSheetId="3" hidden="1">Resto!$A$1:$O$9</definedName>
    <definedName name="_xlnm._FilterDatabase" localSheetId="1" hidden="1">'Revisión completa'!$A$1:$O$8</definedName>
  </definedNames>
  <calcPr calcId="0"/>
</workbook>
</file>

<file path=xl/sharedStrings.xml><?xml version="1.0" encoding="utf-8"?>
<sst xmlns="http://schemas.openxmlformats.org/spreadsheetml/2006/main" count="927" uniqueCount="376">
  <si>
    <t>Revisión de respuestas: Brasil, China y España</t>
  </si>
  <si>
    <t>Confidencial: no se publica.</t>
  </si>
  <si>
    <t>Generada el 2026-10-28 con node scripts/generar_revision.js.</t>
  </si>
  <si>
    <t>Cómo revisar:</t>
  </si>
  <si>
    <t>1. Abrí el link de cada fila y verificá que el dato coincida con la fuente.</t>
  </si>
  <si>
    <t>2. Completá "Aprobado" (sí/no) y "Revisó" (G = Giuliano, A = Agustina). Si algo está mal o falta, escribilo en "Comentario".</t>
  </si>
  <si>
    <t>3. Solo se pueden editar esas tres columnas; el resto de la hoja está protegido.</t>
  </si>
  <si>
    <t>4. Guardá el archivo y subilo a data/revision/completadas/ en GitHub (Add file → Upload files).</t>
  </si>
  <si>
    <t xml:space="preserve">   Las filas con "sí" y sin comentario pasan a aprobado. Las que tienen "no" o un comentario se corrigen y se listan para confirmar.</t>
  </si>
  <si>
    <t>Hojas:</t>
  </si>
  <si>
    <t>- Revisión completa (7 filas): Revisar todas: respuestas interpretativas, en null, fuera del cálculo y todas las condiciones críticas (⚡).</t>
  </si>
  <si>
    <t>- Muestreo (48 filas): Para cada pregunta mecánica, 4 países al azar: abrí el link y verificá el dato.</t>
  </si>
  <si>
    <t>- Resto (8 filas): Solo como referencia. Se pueden aprobar, pero no hace falta revisarlas una por una.</t>
  </si>
  <si>
    <t>Puntos a mirar:</t>
  </si>
  <si>
    <t>- Brasil C3: Búsqueda documentada: no se encontraron casos que cumplan el criterio, así que la respuesta es NO. Caso revisado y no contado: en marzo de 2023 el embajador argentino reclamó por barreras no arancelarias y multas por errores en certificados de origen de exportaciones argentinas (Buenos Aires Herald, 15/03/2023). Es un reclamo diplomático por barreras generales, sin resolución que documente discriminación: los fundadores pueden decidir si cuenta.</t>
  </si>
  <si>
    <t>- China C3: Búsqueda documentada: no se encontraron casos que cumplan el criterio, así que la respuesta es NO. Caso revisado y no contado: el 19/03/2026 la aduana china suspendió las exportaciones del frigorífico argentino ArreBeef tras detectar cloranfenicol en un embarque (La Nación). Es una medida sanitaria sobre una planta por un hallazgo puntual, no una restricción a empresas argentinas como tales: los fundadores pueden decidir si cuenta.</t>
  </si>
  <si>
    <t>- China G4: Criterio aprobado: frecuencia vigente al día de la consulta. REVISAR DESPUÉS DEL 5/12/2026: la prensa informa que la ruta pasará a 4 vuelos semanales (iProfesional, 1/9/2026); si se confirma, la respuesta pasa a NO. En el tablero oficial de Ezeiza no aparecieron vuelos de China Eastern entre el 27/10 y el 3/11/2026, que coincide con las obras en la pista.</t>
  </si>
  <si>
    <t>País</t>
  </si>
  <si>
    <t>ISO</t>
  </si>
  <si>
    <t>#</t>
  </si>
  <si>
    <t>Pregunta</t>
  </si>
  <si>
    <t>Respuesta</t>
  </si>
  <si>
    <t>Dato</t>
  </si>
  <si>
    <t>Dato que se publica</t>
  </si>
  <si>
    <t>Link</t>
  </si>
  <si>
    <t>Fuente y fecha de consulta</t>
  </si>
  <si>
    <t>Criterio aplicado</t>
  </si>
  <si>
    <t>Fuentes revisadas</t>
  </si>
  <si>
    <t>Estado</t>
  </si>
  <si>
    <t>Aprobado</t>
  </si>
  <si>
    <t>Revisó</t>
  </si>
  <si>
    <t>Comentario</t>
  </si>
  <si>
    <t>Huella</t>
  </si>
  <si>
    <t>Brasil</t>
  </si>
  <si>
    <t>BRA</t>
  </si>
  <si>
    <t>A1</t>
  </si>
  <si>
    <t>¿No existe un tratado bilateral de inversión vigente entre Argentina y el país?</t>
  </si>
  <si>
    <t>NO</t>
  </si>
  <si>
    <t>Protocolo de Cooperación y Facilitación de Inversiones del Mercosur (2017): vigente para Argentina desde el 24/11/2020 (Ley 27.527) según la Cancillería argentina. Brasil depositó su instrumento el 31/05/2019 y el Protocolo está en vigor para Brasil desde el 30/07/2019 (Decreto 10.027/2019).</t>
  </si>
  <si>
    <t>Protocolo de Cooperación y Facilitación de Inversiones del Mercosur, vigente (dato 2020, Cancillería argentina)</t>
  </si>
  <si>
    <t>https://tratados.cancilleria.gob.ar/tratado_multi_ficha.php?id=k6KnnA</t>
  </si>
  <si>
    <t>Cancillería argentina, Biblioteca Digital de Tratados (Protocolo de Cooperación y Facilitación de Inversiones del Mercosur) · 2026-10-28</t>
  </si>
  <si>
    <t>Criterio aprobado (sesión 4): el Protocolo de Cooperación y Facilitación de Inversiones del Mercosur cuenta como instrumento de protección si está vigente entre Argentina y el socio. No hay un tratado bilateral de inversión con Brasil en la base de la Cancillería.</t>
  </si>
  <si>
    <t>Cancillería argentina, Biblioteca Digital de Tratados, ficha del Protocolo (https://tratados.cancilleria.gob.ar/tratado_multi_ficha.php?id=k6KnnA): Argentina: ratificación del 25/09/2020, en vigor para Argentina desde el 24/11/2020. Estado: vigente.
Senado Federal de Brasil, Decreto 10.027/2019 (https://legis.senado.leg.br/norma/31440079/publicacao/31440090): Brasil depositó el 31/05/2019; en vigor para Brasil desde el 30/07/2019.</t>
  </si>
  <si>
    <t>pendiente_revision</t>
  </si>
  <si>
    <t>20e873e0de94</t>
  </si>
  <si>
    <t>A2</t>
  </si>
  <si>
    <t>¿El Índice de Percepción de la Corrupción (CPI) del país es inferior a 45/100?</t>
  </si>
  <si>
    <t>SÍ ⚡</t>
  </si>
  <si>
    <t>CPI 2025: 35/100 (puesto 107 de 182).</t>
  </si>
  <si>
    <t>CPI 35/100, puesto 107 de 182 (dato 2025, Transparencia Internacional)</t>
  </si>
  <si>
    <t>https://www.transparency.org/en/countries/brazil</t>
  </si>
  <si>
    <t>Transparencia Internacional, Índice de Percepción de la Corrupción 2025 · 2026-10-27</t>
  </si>
  <si>
    <t>6a206ea76185</t>
  </si>
  <si>
    <t>China</t>
  </si>
  <si>
    <t>CHN</t>
  </si>
  <si>
    <t>CPI 2025: 43/100 (puesto 76 de 182).</t>
  </si>
  <si>
    <t>CPI 43/100, puesto 76 de 182 (dato 2025, Transparencia Internacional)</t>
  </si>
  <si>
    <t>https://www.transparency.org/en/countries/china</t>
  </si>
  <si>
    <t>43cb282c7773</t>
  </si>
  <si>
    <t>A5</t>
  </si>
  <si>
    <t>¿Hubo cambios regulatorios retroactivos documentados en los últimos 5 años, en cualquier sector, que afectaran a empresas extranjeras?</t>
  </si>
  <si>
    <t>El 08/02/2023 el Supremo Tribunal Federal resolvió (Temas 881 y 885, RE 949.297 y RE 955.227) que un precedente posterior del STF hace cesar automáticamente los efectos de sentencias tributarias firmes, y decidió por 6 a 5 no modular los efectos. Habilitó a la Receita Federal a volver a cobrar la CSLL a empresas que tenían sentencia firme a favor desde los años noventa. Tránsito en juzgado del Tema 885: 01/10/2025.</t>
  </si>
  <si>
    <t>el Supremo habilitó cobrar tributos a empresas con sentencia firme a favor, sin modular efectos (dato 2023, Supremo Tribunal Federal)</t>
  </si>
  <si>
    <t>https://portal.stf.jus.br/jurisprudenciaRepercussao/tema.asp?num=885
https://www.conjur.com.br/2023-fev-08/stf-permite-anulacao-decisao-tributaria-definitiva-modulacao/</t>
  </si>
  <si>
    <t>Supremo Tribunal Federal, Tema 885 (repercusión general) · 2026-10-27</t>
  </si>
  <si>
    <t>Cuenta como cambio retroactivo por criterio aprobado: decisión de un tribunal supremo con efecto general y retroactivo sobre empresas. La decisión alcanzó a todas las empresas con sentencia firme a favor, no solo a las extranjeras: se usa la frase de alcance general.</t>
  </si>
  <si>
    <t>a96153a83834</t>
  </si>
  <si>
    <t>I3-1</t>
  </si>
  <si>
    <t>¿El país está por debajo del percentil 50 en el Rule of Law Index del World Justice Project?</t>
  </si>
  <si>
    <t>Rule of Law Index 2026: puesto 76 de 143 (puntaje 0,51); supera a 67 de 142 países (percentil 47).</t>
  </si>
  <si>
    <t>puesto 76 de 143 (dato 2026, World Justice Project)</t>
  </si>
  <si>
    <t>https://worldjusticeproject.org/rule-of-law-index/country/2026/Brazil/</t>
  </si>
  <si>
    <t>World Justice Project, Rule of Law Index 2026 · 2026-10-27</t>
  </si>
  <si>
    <t>4b233516576a</t>
  </si>
  <si>
    <t>Rule of Law Index 2026: puesto 92 de 143 (puntaje 0,48).</t>
  </si>
  <si>
    <t>puesto 92 de 143 (dato 2026, World Justice Project)</t>
  </si>
  <si>
    <t>https://worldjusticeproject.org/rule-of-law-index/country/2026/China/</t>
  </si>
  <si>
    <t>56e886362d41</t>
  </si>
  <si>
    <t>I3-5</t>
  </si>
  <si>
    <t>¿El país no ofrece acceso a arbitraje internacional (CIADI/ICC) para disputas con el Estado?</t>
  </si>
  <si>
    <t>Brasil no es miembro del CIADI. La Ley 13.129/2015 habilita a la administración pública directa e indirecta a usar arbitraje para conflictos sobre derechos patrimoniales disponibles, pero no menciona el arbitraje internacional. El Decreto 10.025/2019 regula el arbitraje con la administración federal solo en los sectores portuario y de transporte. En la base de tratados de la Cancillería argentina no figura un tratado bilateral de inversión con Brasil.</t>
  </si>
  <si>
    <t>no es miembro del CIADI y su ley no habilita expresamente el arbitraje internacional con el Estado (dato 2026, CIADI)</t>
  </si>
  <si>
    <t>https://icsid.worldbank.org/about/member-states/database-of-member-states</t>
  </si>
  <si>
    <t>CIADI, base de datos de Estados miembro · 2026-10-28</t>
  </si>
  <si>
    <t>Criterio aprobado (sesión 4): SÍ si el país no es miembro del CIADI y ninguna norma vigente habilita EXPRESAMENTE el arbitraje internacional en disputas de inversores con el Estado. Los fundadores definieron que la Ley 13.129/2015 no lo habilita expresamente.</t>
  </si>
  <si>
    <t>CIADI, base de datos de Estados miembro (https://icsid.worldbank.org/about/member-states/database-of-member-states): Brasil no figura como Estado miembro.
Senado Federal de Brasil, Ley 13.129/2015 (https://legis.senado.leg.br/norma/584941/publicacao/15632925): Habilitación general del arbitraje con la administración pública; no menciona el arbitraje internacional.
Senado Federal de Brasil, Decreto 10.025/2019 (https://legis.senado.leg.br/norma/31412365/publicacao/31412376): Solo sectores portuario y de transporte; exige arbitraje en Brasil y en portugués.
Cancillería argentina, Biblioteca Digital de Tratados (https://tratados.cancilleria.gob.ar/busqueda.php): Sin tratado bilateral de inversión con Brasil.</t>
  </si>
  <si>
    <t>15108f595a3b</t>
  </si>
  <si>
    <t>C1</t>
  </si>
  <si>
    <t>¿El idioma oficial del país es distinto del español y no existe una lengua franca de negocios compartida con Argentina?</t>
  </si>
  <si>
    <t>SÍ</t>
  </si>
  <si>
    <t>Idioma oficial: portugués (Constitución de Brasil, art. 13: "A língua portuguesa é o idioma oficial da República Federativa do Brasil").</t>
  </si>
  <si>
    <t>idioma oficial: portugués (dato 2026, Constitución de Brasil)</t>
  </si>
  <si>
    <t>https://www.senado.leg.br/atividade/const/con1988/con1988_atual/art_13_.asp</t>
  </si>
  <si>
    <t>Senado Federal de Brasil, Constitución de 1988, art. 13 · 2026-10-27</t>
  </si>
  <si>
    <t>Criterio aprobado: lectura literal; un idioma oficial distinto del español es SÍ. El CIA World Factbook fue discontinuado, así que se usó la Constitución.</t>
  </si>
  <si>
    <t>aprobado</t>
  </si>
  <si>
    <t>sí</t>
  </si>
  <si>
    <t>6b77d3f90834</t>
  </si>
  <si>
    <t>Idioma oficial: chino estándar (putonghua) y caracteres estandarizados, según la Ley del Idioma Chino Estándar Hablado y Escrito (vigente desde 2001, reformada el 27/12/2025).</t>
  </si>
  <si>
    <t>idioma oficial: chino mandarín estándar (dato 2026, Congreso Nacional del Pueblo)</t>
  </si>
  <si>
    <t>https://subsites.chinadaily.com.cn/npc/2025-12/28/c_1151056.htm</t>
  </si>
  <si>
    <t>Congreso Nacional del Pueblo de China (sitio oficial en inglés) · 2026-10-27</t>
  </si>
  <si>
    <t xml:space="preserve">El CIA World Factbook fue discontinuado (cia.gov redirige a una nota de despedida), así que se usó la norma oficial del país. Ninguna fuente oficial documenta una "lengua franca de negocios compartida"; se responde por lectura literal de la pregunta. </t>
  </si>
  <si>
    <t>a45d87cec3a4</t>
  </si>
  <si>
    <t>España</t>
  </si>
  <si>
    <t>ESP</t>
  </si>
  <si>
    <t>El castellano es la lengua española oficial del Estado (Constitución Española, art. 3).</t>
  </si>
  <si>
    <t>idioma oficial: español (dato 2026, Constitución Española)</t>
  </si>
  <si>
    <t>https://www.boe.es/buscar/act.php?id=BOE-A-1978-31229</t>
  </si>
  <si>
    <t>Boletín Oficial del Estado, Constitución Española, art. 3 · 2026-10-27</t>
  </si>
  <si>
    <t xml:space="preserve">El CIA World Factbook fue discontinuado (cia.gov redirige a una nota de despedida), así que se usó la norma oficial del país. </t>
  </si>
  <si>
    <t>8c38c99da867</t>
  </si>
  <si>
    <t>C2</t>
  </si>
  <si>
    <t>¿La diferencia entre Argentina y el país supera los 40 puntos en al menos 2 dimensiones de Hofstede?</t>
  </si>
  <si>
    <t>Diferencias con Argentina (0-100): distancia al poder 20, individualismo 15, motivación por el logro 7, evitación de la incertidumbre 10, orientación a largo plazo 1, indulgencia 3. Ninguna supera 40.</t>
  </si>
  <si>
    <t>mayor diferencia con Argentina: 20 puntos en distancia al poder (dato 2026, Hofstede)</t>
  </si>
  <si>
    <t>https://www.theculturefactor.com/country-comparison-tool?countries=argentina%2Cbrazil</t>
  </si>
  <si>
    <t>The Culture Factor Group, Country Comparison Tool (Hofstede) · 2026-10-27</t>
  </si>
  <si>
    <t>01ac505ce536</t>
  </si>
  <si>
    <t>Diferencias con Argentina (0-100): distancia al poder 31, individualismo 8, motivación por el logro 10, evitación de la incertidumbre 56, orientación a largo plazo 48, indulgencia 38. Superan 40: evitación de la incertidumbre y orientación a largo plazo.</t>
  </si>
  <si>
    <t>diferencias de 56 puntos en evitación de la incertidumbre y de 48 en orientación a largo plazo (dato 2026, Hofstede)</t>
  </si>
  <si>
    <t>https://www.theculturefactor.com/country-comparison-tool?countries=argentina%2Cchina</t>
  </si>
  <si>
    <t>f6284b93a7a4</t>
  </si>
  <si>
    <t>Diferencias con Argentina (0-100): distancia al poder 8, individualismo 16, motivación por el logro 14, evitación de la incertidumbre 0, orientación a largo plazo 18, indulgencia 18. Ninguna supera 40.</t>
  </si>
  <si>
    <t>mayor diferencia con Argentina: 18 puntos en orientación a largo plazo (dato 2026, Hofstede)</t>
  </si>
  <si>
    <t>https://www.theculturefactor.com/country-comparison-tool?countries=argentina%2Cspain</t>
  </si>
  <si>
    <t>c4c2047f4d86</t>
  </si>
  <si>
    <t>C4</t>
  </si>
  <si>
    <t>¿No existe una cámara o asociación empresarial bilateral activa entre Argentina y el país?</t>
  </si>
  <si>
    <t>Existe la Cámara de Comercio Argentino Brasileña (CAMBRAS), activa: organizó el CAMBRAS Business Day 2026 (sexta edición).</t>
  </si>
  <si>
    <t>Cámara de Comercio Argentino Brasileña (CAMBRAS) (dato 2026, CAMBRAS)</t>
  </si>
  <si>
    <t>https://cambras.org.ar/</t>
  </si>
  <si>
    <t>Cámara de Comercio Argentino Brasileña (CAMBRAS) · 2026-10-27</t>
  </si>
  <si>
    <t>bb64e262b89b</t>
  </si>
  <si>
    <t>Existe la Cámara Argentino China (Argenchina), activa: publicó la agenda del China Agribusiness Day en diciembre de 2025.</t>
  </si>
  <si>
    <t>Cámara Argentino China (Argenchina) (dato 2025, Argenchina)</t>
  </si>
  <si>
    <t>https://camaraargentinochina.org/</t>
  </si>
  <si>
    <t>Cámara Argentino China (Argenchina) · 2026-10-27</t>
  </si>
  <si>
    <t>Su última publicación en el sitio es de diciembre de 2025.</t>
  </si>
  <si>
    <t>c9522bf1a00c</t>
  </si>
  <si>
    <t>Existe la Cámara Española de Comercio de la República Argentina, activa (publicaciones del 26/10/2026).</t>
  </si>
  <si>
    <t>Cámara Española de Comercio de la República Argentina (dato 2026, Cámara Española)</t>
  </si>
  <si>
    <t>https://www.cecra.com.ar/</t>
  </si>
  <si>
    <t>Cámara Española de Comercio de la República Argentina · 2026-10-27</t>
  </si>
  <si>
    <t>8b6990d68a21</t>
  </si>
  <si>
    <t>Convenio Argentina–China para la promoción y protección recíproca de inversiones: firmado el 05/11/1992, en vigor desde el 01/08/1994 (Ley 24.325). Estado: vigente.</t>
  </si>
  <si>
    <t>tratado vigente desde 1994 (dato 2026, Cancillería argentina)</t>
  </si>
  <si>
    <t>https://tratados.cancilleria.gob.ar/busqueda.php</t>
  </si>
  <si>
    <t>Cancillería argentina, Biblioteca Digital de Tratados · 2026-10-27</t>
  </si>
  <si>
    <t xml:space="preserve">UNCTAD Investment Policy Hub bloquea el acceso con una verificación antibots (Cloudflare), así que se usó la base oficial de tratados de la Cancillería argentina. </t>
  </si>
  <si>
    <t>d2483cfb0693</t>
  </si>
  <si>
    <t>Acuerdo Argentina–España para la promoción y la protección recíproca de inversiones: firmado el 03/10/1991, en vigor desde el 28/09/1992 (Ley 24.118). Estado: vigente.</t>
  </si>
  <si>
    <t>tratado vigente desde 1992 (dato 2026, Cancillería argentina)</t>
  </si>
  <si>
    <t>a5d1efbc75ab</t>
  </si>
  <si>
    <t>CPI 2025: 55/100 (puesto 49 de 182).</t>
  </si>
  <si>
    <t>CPI 55/100, puesto 49 de 182 (dato 2025, Transparencia Internacional)</t>
  </si>
  <si>
    <t>https://www.transparency.org/en/countries/spain</t>
  </si>
  <si>
    <t>675f7016aa6a</t>
  </si>
  <si>
    <t>A3</t>
  </si>
  <si>
    <t>¿No existe un acuerdo comercial vigente entre el país y Argentina o el Mercosur?</t>
  </si>
  <si>
    <t>Brasil y Argentina son miembros del Mercosur, acuerdo en vigor registrado en la OMC.</t>
  </si>
  <si>
    <t>Mercosur (dato 2026, OMC)</t>
  </si>
  <si>
    <t>https://rtais.wto.org/UI/PublicSearchByMemberResult.aspx?membercode=032</t>
  </si>
  <si>
    <t>OMC, base de datos de acuerdos comerciales regionales · 2026-10-27</t>
  </si>
  <si>
    <t>345b37ec1ae5</t>
  </si>
  <si>
    <t>La base de la OMC no registra acuerdos en vigor de China con Argentina ni con el Mercosur. China sí tiene acuerdos vigentes con Chile, Perú, Ecuador y Costa Rica, entre otros.</t>
  </si>
  <si>
    <t>sin acuerdo comercial con Argentina ni con el Mercosur (dato 2026, OMC)</t>
  </si>
  <si>
    <t>https://rtais.wto.org/UI/PublicSearchByMemberResult.aspx?membercode=156</t>
  </si>
  <si>
    <t>1554b34b1892</t>
  </si>
  <si>
    <t>El Acuerdo Comercial Interino UE–Mercosur se firmó el 17/01/2026 y se aplica en forma provisoria desde el 01/05/2026, con Argentina, Brasil, Paraguay y Uruguay.</t>
  </si>
  <si>
    <t>Acuerdo Comercial Interino UE–Mercosur (dato 2026, Comisión Europea)</t>
  </si>
  <si>
    <t>https://policy.trade.ec.europa.eu/news/eu-mercosur-interim-trade-agreement-starts-provisionally-apply-2026-04-30_en</t>
  </si>
  <si>
    <t>Comisión Europea, Dirección General de Comercio · 2026-10-27</t>
  </si>
  <si>
    <t>Criterio aprobado: un acuerdo en aplicación provisoria cuenta como vigente. La base de acuerdos de la OMC (actualizada al 23/10/2026) todavía no lo lista.</t>
  </si>
  <si>
    <t>714fe605b44f</t>
  </si>
  <si>
    <t>A4</t>
  </si>
  <si>
    <t>¿El indicador Government Effectiveness del país está por debajo del percentil 50?</t>
  </si>
  <si>
    <t>Government Effectiveness 2025: estimación −0,04; percentil 45 (supera al 44,8% de las 213 economías con dato).</t>
  </si>
  <si>
    <t>Government Effectiveness, percentil 45 (dato 2025, Banco Mundial)</t>
  </si>
  <si>
    <t>https://api.worldbank.org/v2/country/all/indicator/GOV_WGI_GE.EST?source=3&amp;format=json&amp;date=2025&amp;per_page=400</t>
  </si>
  <si>
    <t>Banco Mundial, Worldwide Governance Indicators 2025 · 2026-10-27</t>
  </si>
  <si>
    <t xml:space="preserve">El percentil se calculó sobre las estimaciones oficiales del WGI 2025 (213 economías con dato), porque la API del Banco Mundial ya no publica el rango percentil. </t>
  </si>
  <si>
    <t>02501563f0af</t>
  </si>
  <si>
    <t>Government Effectiveness 2025: estimación 0,62; percentil 70.</t>
  </si>
  <si>
    <t>Government Effectiveness, percentil 70 (dato 2025, Banco Mundial)</t>
  </si>
  <si>
    <t>b9a5659d0d0d</t>
  </si>
  <si>
    <t>Government Effectiveness 2025: estimación 1,13; percentil 83.</t>
  </si>
  <si>
    <t>Government Effectiveness, percentil 83 (dato 2025, Banco Mundial)</t>
  </si>
  <si>
    <t>2b19b949aca9</t>
  </si>
  <si>
    <t>G1</t>
  </si>
  <si>
    <t>¿El Logistics Performance Index del país es inferior a 2,8 sobre 5?</t>
  </si>
  <si>
    <t>LPI 2023: 3,2 sobre 5.</t>
  </si>
  <si>
    <t>LPI 3,2 sobre 5 (dato 2023, Banco Mundial)</t>
  </si>
  <si>
    <t>https://api.worldbank.org/v2/country/BRA;CHN;ESP/indicator/LP.LPI.OVRL.XQ?format=json&amp;mrnev=1</t>
  </si>
  <si>
    <t>Banco Mundial, Logistics Performance Index 2023 · 2026-10-27</t>
  </si>
  <si>
    <t>edcd2cf6939f</t>
  </si>
  <si>
    <t>LPI 2023: 3,7 sobre 5.</t>
  </si>
  <si>
    <t>LPI 3,7 sobre 5 (dato 2023, Banco Mundial)</t>
  </si>
  <si>
    <t>4dbc4e67b1d1</t>
  </si>
  <si>
    <t>LPI 2023: 3,9 sobre 5.</t>
  </si>
  <si>
    <t>LPI 3,9 sobre 5 (dato 2023, Banco Mundial)</t>
  </si>
  <si>
    <t>44904bbf2362</t>
  </si>
  <si>
    <t>G3</t>
  </si>
  <si>
    <t>¿La diferencia horaria con Argentina (UTC−3) supera las 5 horas?</t>
  </si>
  <si>
    <t>Brasilia (America/Sao_Paulo) usa UTC−3 todo el año, igual que Argentina: diferencia de 0 horas.</t>
  </si>
  <si>
    <t>0 horas de diferencia con Argentina (dato 2026, IANA)</t>
  </si>
  <si>
    <t>https://data.iana.org/time-zones/tzdata-latest.tar.gz</t>
  </si>
  <si>
    <t>Base de zonas horarias IANA (tzdata 2026e) · 2026-10-27</t>
  </si>
  <si>
    <t>timeanddate.com bloqueó el acceso (403); se usó la base oficial IANA.</t>
  </si>
  <si>
    <t>4141fa75d7c8</t>
  </si>
  <si>
    <t>Pekín y Shanghái (Asia/Shanghai) usan UTC+8 todo el año: 11 horas de diferencia con Argentina.</t>
  </si>
  <si>
    <t>11 horas de diferencia con Argentina (dato 2026, IANA)</t>
  </si>
  <si>
    <t>aa6dd3e10e64</t>
  </si>
  <si>
    <t>Madrid (Europe/Madrid) usa UTC+1 en invierno y UTC+2 en verano: 4 horas de diferencia con Argentina en invierno y 5 en verano (no supera las 5).</t>
  </si>
  <si>
    <t>entre 4 y 5 horas de diferencia con Argentina según la época del año (dato 2026, IANA)</t>
  </si>
  <si>
    <t>90512007ac4d</t>
  </si>
  <si>
    <t>G4</t>
  </si>
  <si>
    <t>¿No hay conexión aérea directa desde Argentina con al menos 3 vuelos semanales?</t>
  </si>
  <si>
    <t>El 27/10/2026 había más de 20 vuelos directos programados en un solo día desde Ezeiza y Aeroparque a San Pablo, Río de Janeiro y Campinas (Aerolíneas Argentinas, LATAM, GOL, Azul y JetSMART).</t>
  </si>
  <si>
    <t>más de 20 vuelos directos programados en un día (dato 2026, Aeropuertos Argentina)</t>
  </si>
  <si>
    <t>https://www.aeropuertosargentina.com/vuelos?aeropuerto=EZE&amp;movtp=D</t>
  </si>
  <si>
    <t>Aeropuertos Argentina, tablero oficial de partidas de Ezeiza y Aeroparque · 2026-10-27</t>
  </si>
  <si>
    <t>091b3cfcb333</t>
  </si>
  <si>
    <t>La única conexión directa es la de China Eastern Shanghái–Auckland–Buenos Aires (MU745/746), con 2 vuelos semanales desde diciembre de 2025.</t>
  </si>
  <si>
    <t>2 vuelos semanales de China Eastern vía Auckland (dato 2026, Gobierno de Shanghái)</t>
  </si>
  <si>
    <t>https://english.shanghai.gov.cn/en-Latest-WhatsNew/20251205/a825766482394866931d940fe48faedd.html</t>
  </si>
  <si>
    <t>Gobierno Municipal de Shanghái · 2026-10-27</t>
  </si>
  <si>
    <t>Criterio aprobado: frecuencia vigente al día de la consulta. REVISAR DESPUÉS DEL 5/12/2026: la prensa informa que la ruta pasará a 4 vuelos semanales (iProfesional, 1/9/2026); si se confirma, la respuesta pasa a NO. En el tablero oficial de Ezeiza no aparecieron vuelos de China Eastern entre el 27/10 y el 3/11/2026, que coincide con las obras en la pista.</t>
  </si>
  <si>
    <t>c528f8b6ba25</t>
  </si>
  <si>
    <t>El 27/10/2026 salieron de Ezeiza 5 vuelos directos a Madrid: Iberia IB0102, IB0106 e IB0108, Air Europa UX042 y Aerolíneas Argentinas AR1136.</t>
  </si>
  <si>
    <t>5 vuelos directos a Madrid en un día (dato 2026, Aeropuertos Argentina)</t>
  </si>
  <si>
    <t>62a379792bab</t>
  </si>
  <si>
    <t>E1</t>
  </si>
  <si>
    <t>¿El PBI per cápita (PPP) del país es inferior a USD 8.000?</t>
  </si>
  <si>
    <t>PBI per cápita PPP 2025: USD 23.363.</t>
  </si>
  <si>
    <t>PBI per cápita PPP: USD 23.363 (dato 2025, FMI)</t>
  </si>
  <si>
    <t>https://api.imf.org/external/sdmx/2.1/data/IMF.RES,WEO/BRA+CHN+ESP.PPPPC+PCPIPCH.A?startPeriod=2022&amp;endPeriod=2026</t>
  </si>
  <si>
    <t>FMI, World Economic Outlook (octubre de 2026) · 2026-10-27</t>
  </si>
  <si>
    <t>11e06dfec6bd</t>
  </si>
  <si>
    <t>PBI per cápita PPP 2025: USD 29.369.</t>
  </si>
  <si>
    <t>PBI per cápita PPP: USD 29.369 (dato 2025, FMI)</t>
  </si>
  <si>
    <t>f7b3a44677db</t>
  </si>
  <si>
    <t>PBI per cápita PPP 2025: USD 57.282.</t>
  </si>
  <si>
    <t>PBI per cápita PPP: USD 57.282 (dato 2025, FMI)</t>
  </si>
  <si>
    <t>71de22756ccb</t>
  </si>
  <si>
    <t>E2</t>
  </si>
  <si>
    <t>¿La inflación anual superó el 15% en al menos uno de los últimos 3 años?</t>
  </si>
  <si>
    <t>Inflación anual: 4,6% (2023), 4,4% (2024), 5,0% (2025).</t>
  </si>
  <si>
    <t>inflación de 4,6% en 2023, 4,4% en 2024 y 5,0% en 2025 (dato 2025, FMI)</t>
  </si>
  <si>
    <t>11da08b8c249</t>
  </si>
  <si>
    <t>Inflación anual: 0,2% (2023), 0,2% (2024), 0,0% (2025).</t>
  </si>
  <si>
    <t>inflación de 0,2% en 2023, 0,2% en 2024 y 0,0% en 2025 (dato 2025, FMI)</t>
  </si>
  <si>
    <t>e62ab9980765</t>
  </si>
  <si>
    <t>Inflación anual: 3,4% (2023), 2,9% (2024), 2,7% (2025).</t>
  </si>
  <si>
    <t>inflación de 3,4% en 2023, 2,9% en 2024 y 2,7% en 2025 (dato 2025, FMI)</t>
  </si>
  <si>
    <t>1539ffb8a020</t>
  </si>
  <si>
    <t>E3</t>
  </si>
  <si>
    <t>¿La moneda local se devaluó más de 20% frente al dólar en los últimos 24 meses?</t>
  </si>
  <si>
    <t>Reales por dólar (PTAX venta): 5,6969 el 25/10/2024; máximo 6,2086 el 02/01/2025 (+9,0%); 5,3346 el 27/10/2026 (−6,4%).</t>
  </si>
  <si>
    <t>variación máxima frente al dólar: 9,0% (dato 2026, Banco Central do Brasil)</t>
  </si>
  <si>
    <t>https://api.bcb.gov.br/dados/serie/bcdata.sgs.1/dados?formato=json&amp;dataInicial=01/10/2024&amp;dataFinal=27/10/2026</t>
  </si>
  <si>
    <t>Banco Central do Brasil, serie SGS 1 (dólar PTAX venta) · 2026-10-27</t>
  </si>
  <si>
    <t>3aaa0f538d4a</t>
  </si>
  <si>
    <t>Yuanes por dólar: 7,1199 el 25/10/2024; máximo 7,3499 el 09/04/2025 (+3,2%); 6,6702 el 23/10/2026 (−6,3%).</t>
  </si>
  <si>
    <t>variación máxima frente al dólar: 3,2% (dato 2026, Reserva Federal de EE.UU.)</t>
  </si>
  <si>
    <t>https://fred.stlouisfed.org/graph/fredgraph.csv?id=DEXCHUS&amp;cosd=2024-10-01</t>
  </si>
  <si>
    <t>Reserva Federal de EE.UU., serie H.10 (DEXCHUS, publicada en FRED) · 2026-10-27</t>
  </si>
  <si>
    <t>La tabla de paridad central de la SAFE (safe.gov.cn) se carga dinámicamente y no se pudo leer; se usó la serie histórica oficial de la Reserva Federal.</t>
  </si>
  <si>
    <t>ea4dfc9f800f</t>
  </si>
  <si>
    <t>Dólares por euro (tipo de referencia del BCE): 1,0825 el 25/10/2024; mínimo 1,0198 el 13/01/2025 (el euro se depreció 6,1%); 1,1150 el 27/10/2026.</t>
  </si>
  <si>
    <t>variación máxima frente al dólar: 6,1% (dato 2026, BCE)</t>
  </si>
  <si>
    <t>https://data-api.ecb.europa.eu/service/data/EXR/D.USD.EUR.SP00.A?startPeriod=2024-10-01&amp;format=csvdata</t>
  </si>
  <si>
    <t>Banco Central Europeo, tipos de cambio de referencia (EXR, USD/EUR) · 2026-10-27</t>
  </si>
  <si>
    <t>España usa el euro; el banco central emisor es el BCE.</t>
  </si>
  <si>
    <t>3878f04d6ff8</t>
  </si>
  <si>
    <t>E4</t>
  </si>
  <si>
    <t>¿La economía informal supera el 30% del PBI?</t>
  </si>
  <si>
    <t>Economía informal en 2020: 40,0% del PBI oficial según el modelo MIMIC y 33,4% según el modelo DGE.</t>
  </si>
  <si>
    <t>40% del PBI (dato 2020, Banco Mundial)</t>
  </si>
  <si>
    <t>https://thedocs.worldbank.org/en/doc/37511318c092e6fd4ca3c60f0af0bea3-0350012021/related/informal-economy-database.xlsx</t>
  </si>
  <si>
    <t>Banco Mundial, Informal Economy Database (Elgin, Kose, Ohnsorge y Yu, 2021) · 2026-10-27</t>
  </si>
  <si>
    <t>Fuente sustituta: el sitio del FMI (imf.org) bloqueó el acceso. El modelo MIMIC es la metodología de Medina y Schneider (FMI). Último año disponible: 2020.</t>
  </si>
  <si>
    <t>d9072ca02fe4</t>
  </si>
  <si>
    <t>Economía informal en 2020: 11,6% del PBI oficial según el modelo MIMIC y 8,0% según el modelo DGE.</t>
  </si>
  <si>
    <t>12% del PBI (dato 2020, Banco Mundial)</t>
  </si>
  <si>
    <t>Fuente sustituta: el sitio del FMI (imf.org) bloqueó el acceso. Último año disponible: 2020.</t>
  </si>
  <si>
    <t>fa1c0be930df</t>
  </si>
  <si>
    <t>Economía informal en 2020: 23,4% del PBI oficial según el modelo MIMIC y 20,6% según el modelo DGE.</t>
  </si>
  <si>
    <t>23% del PBI (dato 2020, Banco Mundial)</t>
  </si>
  <si>
    <t>333ac1deab51</t>
  </si>
  <si>
    <t>Rule of Law Index 2026: puesto 25 de 143 (puntaje 0,71).</t>
  </si>
  <si>
    <t>puesto 25 de 143 (dato 2026, World Justice Project)</t>
  </si>
  <si>
    <t>https://worldjusticeproject.org/rule-of-law-index/country/2026/Spain/</t>
  </si>
  <si>
    <t>d2a8fe53a520</t>
  </si>
  <si>
    <t>I3-4</t>
  </si>
  <si>
    <t>¿El país está por debajo del percentil 50 en el factor 7.5 (la justicia civil no está sujeta a demoras irrazonables) del Rule of Law Index del World Justice Project?</t>
  </si>
  <si>
    <t>WJP 2026, factor 7.5 (la justicia civil no está sujeta a demoras irrazonables): puntaje 0,28; puesto 114 de 143 (percentil 20).</t>
  </si>
  <si>
    <t>puesto 114 de 143 en demoras de la justicia civil (dato 2026, World Justice Project)</t>
  </si>
  <si>
    <t>https://worldjusticeproject.org/rule-of-law-index/data/2026.csv</t>
  </si>
  <si>
    <t>World Justice Project, Rule of Law Index 2026 (factor 7.5) · 2026-10-27</t>
  </si>
  <si>
    <t>be891f09cc48</t>
  </si>
  <si>
    <t>WJP 2026, factor 7.5: puntaje 0,68; puesto 17 de 143 (percentil 89).</t>
  </si>
  <si>
    <t>puesto 17 de 143 en demoras de la justicia civil (dato 2026, World Justice Project)</t>
  </si>
  <si>
    <t>955903ff8950</t>
  </si>
  <si>
    <t>WJP 2026, factor 7.5: puntaje 0,45; puesto 54 de 143 (percentil 63).</t>
  </si>
  <si>
    <t>puesto 54 de 143 en demoras de la justicia civil (dato 2026, World Justice Project)</t>
  </si>
  <si>
    <t>112cb21e9551</t>
  </si>
  <si>
    <t>China es miembro del CIADI: firma 09/02/1990, ratificación 07/01/1993, en vigor desde el 06/02/1993.</t>
  </si>
  <si>
    <t>miembro del CIADI desde 1993 (dato 2026, CIADI)</t>
  </si>
  <si>
    <t>CIADI, base de datos de Estados miembro · 2026-10-27</t>
  </si>
  <si>
    <t>d3b4ebba5a57</t>
  </si>
  <si>
    <t>España es miembro del CIADI: firma 21/03/1994, ratificación 18/08/1994, en vigor desde el 17/09/1994.</t>
  </si>
  <si>
    <t>miembro del CIADI desde 1994 (dato 2026, CIADI)</t>
  </si>
  <si>
    <t>613032f5734c</t>
  </si>
  <si>
    <t>I4-4</t>
  </si>
  <si>
    <t>¿Las estadísticas oficiales tienen un rezago mayor a 12 meses o el país no adhiere a los estándares SDDS/e-GDDS del FMI? (indicador aparte, no entra al puntaje)</t>
  </si>
  <si>
    <t>Brasil adhiere al SDDS Plus del FMI.</t>
  </si>
  <si>
    <t>adhiere al SDDS Plus (dato 2026, FMI)</t>
  </si>
  <si>
    <t>https://dsbb.imf.org/sdds-plus/country</t>
  </si>
  <si>
    <t>FMI, Dissemination Standards Bulletin Board (SDDS Plus) · 2026-10-27</t>
  </si>
  <si>
    <t xml:space="preserve">Adherir al SDDS/SDDS Plus implica cumplir plazos de difusión del FMI; no se evaluó el rezago serie por serie. </t>
  </si>
  <si>
    <t>5d250a7ca810</t>
  </si>
  <si>
    <t>China adhiere al SDDS del FMI.</t>
  </si>
  <si>
    <t>adhiere al SDDS (dato 2026, FMI)</t>
  </si>
  <si>
    <t>https://dsbb.imf.org/sdds/country</t>
  </si>
  <si>
    <t>FMI, Dissemination Standards Bulletin Board (SDDS) · 2026-10-27</t>
  </si>
  <si>
    <t>3f20dc5fa150</t>
  </si>
  <si>
    <t>España adhiere al SDDS Plus del FMI.</t>
  </si>
  <si>
    <t>6db029131000</t>
  </si>
  <si>
    <t>C3</t>
  </si>
  <si>
    <t>¿Hay antecedentes documentados de discriminación o restricciones a empresas argentinas en los últimos 5 años?</t>
  </si>
  <si>
    <t>No se encontraron antecedentes de discriminación o restricciones dirigidas a empresas argentinas en Brasil en los últimos 5 años. En la OMC, desde 2020 (DS595 en adelante) Argentina solo inició disputas contra EE.UU. (DS617) y Perú (DS614).</t>
  </si>
  <si>
    <t>búsqueda en prensa y en disputas de la OMC (dato 2026, prensa y OMC)</t>
  </si>
  <si>
    <t>https://www.wto.org/english/tratop_e/dispu_e/dispu_status_e.htm</t>
  </si>
  <si>
    <t>OMC, lista cronológica de disputas · 2026-10-27</t>
  </si>
  <si>
    <t>Búsqueda documentada: no se encontraron casos que cumplan el criterio, así que la respuesta es NO. Caso revisado y no contado: en marzo de 2023 el embajador argentino reclamó por barreras no arancelarias y multas por errores en certificados de origen de exportaciones argentinas (Buenos Aires Herald, 15/03/2023). Es un reclamo diplomático por barreras generales, sin resolución que documente discriminación: los fundadores pueden decidir si cuenta.</t>
  </si>
  <si>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Según su descripción pública, el índice mide restricciones generales a la inversión extranjera, no medidas contra un país de origen.
Búsqueda web en reuters.com ("Argentina Brazil trade barrier Argentine companies") (https://www.reuters.com): Sin notas sobre restricciones o discriminación a empresas argentinas.
Buenos Aires Herald, "Argentina complains to Brazil over trade barriers" (15/03/2023) (https://buenosairesherald.com/economics/argentina-complains-to-brazil-over-trade-barriers): Reclamo del embajador argentino por barreras no arancelarias, registro de productos y multas en certificados de origen. No se contó (ver criterio).
Búsqueda web en prensa argentina y brasileña ("Brasil restricciones empresas argentinas 2022-2025") (https://www.ambito.com/economia/alerta-exportaciones-brasil-denuncian-trabas-productos-argentinos-n5984542): Notas sobre el mismo reclamo por trabas a exportaciones; sin medida dirigida a empresas argentinas.</t>
  </si>
  <si>
    <t>bb36505c73b3</t>
  </si>
  <si>
    <t>No se encontraron antecedentes de discriminación dirigida a empresas argentinas en China en los últimos 5 años. En la OMC, desde 2020 (DS595 en adelante) Argentina solo inició disputas contra EE.UU. (DS617) y Perú (DS614).</t>
  </si>
  <si>
    <t>Búsqueda documentada: no se encontraron casos que cumplan el criterio, así que la respuesta es NO. Caso revisado y no contado: el 19/03/2026 la aduana china suspendió las exportaciones del frigorífico argentino ArreBeef tras detectar cloranfenicol en un embarque (La Nación). Es una medida sanitaria sobre una planta por un hallazgo puntual, no una restricción a empresas argentinas como tales: los fundadores pueden decidir si cuenta.</t>
  </si>
  <si>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Según su descripción pública, el índice mide restricciones generales a la inversión extranjera, no medidas contra un país de origen.
Búsqueda web en reuters.com ("China Argentina companies restriction") (https://www.reuters.com): Sin notas sobre restricciones o discriminación a empresas argentinas.
La Nación, "Drástica medida: China suspendió las exportaciones de un importante frigorífico argentino" (19/03/2026) (https://www.lanacion.com.ar/economia/campo/drastica-medida-china-suspendio-las-exportaciones-de-un-frigorifico-argentino-nid19032026/): Suspensión sanitaria de ArreBeef por residuos de cloranfenicol. No se contó (ver criterio).</t>
  </si>
  <si>
    <t>f19cfd937193</t>
  </si>
  <si>
    <t>No se encontraron antecedentes de discriminación o restricciones a empresas argentinas en España en los últimos 5 años. En la OMC, desde 2020 (DS595 en adelante) Argentina solo inició disputas contra EE.UU. (DS617) y Perú (DS614). Ninguna contra la Unión Europea.</t>
  </si>
  <si>
    <t>Búsqueda documentada: no se encontraron casos que cumplan el criterio, así que la respuesta es NO.</t>
  </si>
  <si>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Según su descripción pública, el índice mide restricciones generales a la inversión extranjera, no medidas contra un país de origen.
Búsqueda web en reuters.com ("Spain Argentine companies restriction") (https://www.reuters.com): Sin notas sobre restricciones o discriminación a empresas argentinas.
Búsqueda web en prensa española y argentina ("España restricciones empresas argentinas 2022-2025") (https://www.publico.es/internacional/intereses-empresas-espanolas-argentina-factor-clave-tibieza-sanchez-milei.html): Las notas encontradas tratan sobre empresas españolas en Argentina, no sobre medidas españolas contra empresas argentinas.</t>
  </si>
  <si>
    <t>c02ebd86fc85</t>
  </si>
  <si>
    <t>No se encontraron cambios regulatorios retroactivos documentados que afectaran a empresas extranjeras en los últimos 5 años.</t>
  </si>
  <si>
    <t>sin cambios retroactivos documentados en prensa (dato 2026, prensa)</t>
  </si>
  <si>
    <t>https://www.china-briefing.com/news/china-new-company-law-application-scope-retrospective-effect-supreme-court-judicial-interpretation/</t>
  </si>
  <si>
    <t>China Briefing (Dezan Shira), interpretación judicial de la nueva Ley de Sociedades · 2026-10-27</t>
  </si>
  <si>
    <t>Búsqueda documentada: no se encontraron casos que cumplan el criterio, así que la respuesta es NO. Se revisó la interpretación judicial de la nueva Ley de Sociedades (vigente desde el 01/07/2024): mantiene el principio de no retroactividad, con excepciones puntuales.</t>
  </si>
  <si>
    <t>China Briefing, interpretación judicial de la nueva Ley de Sociedades (https://www.china-briefing.com/news/china-new-company-law-application-scope-retrospective-effect-supreme-court-judicial-interpretation/): Mantiene la no retroactividad como principio; no es un cambio retroactivo contra empresas extranjeras.
Morgan Lewis, "Understanding China’s New Company Law" (2025) (https://www.morganlewis.com/pubs/2025/03/understanding-chinas-new-company-law-what-foreign-investors-need-to-know): Análisis para inversores extranjeros; no documenta aplicación retroactiva.
Búsqueda web en reuters.com ("China retroactive rules foreign companies") (https://www.reuters.com): Sin notas sobre restricciones o discriminación a empresas argentinas.</t>
  </si>
  <si>
    <t>92237e93ef21</t>
  </si>
  <si>
    <t>https://www.eldiario.es/economia/espana-neutraliza-99-multimillonarias-reclamaciones-recortes-rajoy-renovables_1_12173639.html</t>
  </si>
  <si>
    <t>elDiario.es, arbitrajes por los recortes a las renovables · 2026-10-27</t>
  </si>
  <si>
    <t>Búsqueda documentada: no se encontraron casos que cumplan el criterio, así que la respuesta es NO. Los recortes retroactivos a las renovables son de 2010-2014, fuera de la ventana de 5 años. También se revisó el gravamen temporal energético y bancario (Ley 38/2022): las fuentes consultadas no lo describen como retroactivo.</t>
  </si>
  <si>
    <t>elDiario.es, arbitrajes por los recortes a las renovables (https://www.eldiario.es/economia/espana-neutraliza-99-multimillonarias-reclamaciones-recortes-rajoy-renovables_1_12173639.html): Los recortes son de 2010-2014; los laudos y ejecuciones recientes no son cambios regulatorios nuevos.
Legal Today, gravamen temporal de la Ley 38/2022 (https://www.legaltoday.com/actualidad-juridica/noticias-de-derecho/la-ley-38-2022-recauda-1-500-millones-de-euros-de-la-banca-y-las-energeticas-desde-su-entrada-en-vigor-2023-02-22/): Gravamen temporal sobre energéticas y bancos; no descripto como retroactivo.
Búsqueda web en reuters.com ("Spain retroactive regulatory change foreign investors") (https://www.reuters.com): Sin notas sobre restricciones o discriminación a empresas argentinas.</t>
  </si>
  <si>
    <t>8de02e8d1967</t>
  </si>
  <si>
    <t>I3-2</t>
  </si>
  <si>
    <t>¿Hubo expropiación, nacionalización o confiscación de activos, en cualquier sector, en los últimos 10 años?</t>
  </si>
  <si>
    <t>Brasil no es miembro del CIADI y no tiene casos en su base. La prensa revisada no documenta expropiaciones, nacionalizaciones ni confiscaciones de activos de empresas en los últimos 10 años.</t>
  </si>
  <si>
    <t>sin expropiaciones documentadas en el CIADI ni en prensa (dato 2026, CIADI y prensa)</t>
  </si>
  <si>
    <t>https://icsid.worldbank.org/cases/case-database</t>
  </si>
  <si>
    <t>CIADI, base de casos · 2026-10-27</t>
  </si>
  <si>
    <t>Búsqueda documentada: no se encontraron casos que cumplan el criterio, así que la respuesta es NO. Solo cuenta una expropiación, nacionalización o confiscación documentada: no cuentan las demandas sin resolver ni las expropiaciones ordinarias por utilidad pública.</t>
  </si>
  <si>
    <t>CIADI, base de casos (https://icsid.worldbank.org/cases/case-database): 0 casos con Brasil como demandado.
Búsqueda web en prensa brasileña ("nacionalização ou expropriação de empresa 2016-2026") (https://www.tribunapr.com.br/noticias/economia/desnacionalizacao-de-empresas-avanca-no-brasil/): Sin casos de expropiación o nacionalización de empresas.</t>
  </si>
  <si>
    <t>5c30faded48d</t>
  </si>
  <si>
    <t>En la base del CIADI hay 6 casos contra China, todos concluidos (Ekran 2011, Ansung 2014, Hela Schwarz 2017, Macro Trading 2020, Goh Chin Soon 2020, AsiaPhos 2021). Ninguna fuente revisada documenta una expropiación, nacionalización o confiscación en los últimos 10 años.</t>
  </si>
  <si>
    <t>CIADI, base de casos (https://icsid.worldbank.org/cases/case-database): 6 casos contra China, todos concluidos.
Búsqueda web ("China expropriation nationalization foreign company 2016-2026") (https://securingdemocracy.gmfus.org/?p=16614): Los resultados tratan casos fuera de China o internos (CEFC, Xiao Jianhua); sin expropiación documentada a empresas extranjeras en China.</t>
  </si>
  <si>
    <t>e28d2203eadb</t>
  </si>
  <si>
    <t>En la base del CIADI hay 44 casos contra España, en su mayoría por los recortes a las renovables (2010-2014); varios siguen pendientes. Ninguna fuente revisada documenta una expropiación, nacionalización o confiscación en los últimos 10 años.</t>
  </si>
  <si>
    <t>Búsqueda documentada: no se encontraron casos que cumplan el criterio, así que la respuesta es NO. Solo cuenta una expropiación, nacionalización o confiscación documentada: no cuentan las demandas sin resolver ni las expropiaciones ordinarias por utilidad pública. Los laudos de renovables revisados en prensa se refieren a los recortes, no a una expropiación formal.</t>
  </si>
  <si>
    <t>CIADI, base de casos (https://icsid.worldbank.org/cases/case-database): 44 casos contra España, varios pendientes.
elDiario.es, balance de los arbitrajes de renovables (https://www.eldiario.es/economia/espana-neutraliza-99-multimillonarias-reclamaciones-recortes-rajoy-renovables_1_12173639.html): Arbitrajes por recortes a las renovables; sin expropiación formal.</t>
  </si>
  <si>
    <t>02fa71f69354</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</si>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</sst>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ont>
    <font>
      <b/>
      <sz val="11"/>
      <color rgb="FFFEFEFE"/>
      <name val="Calibri"/>
    </font>
    <font>
      <u/>
      <sz val="11"/>
      <color rgb="FF0059FF"/>
      <name val="Calibri"/>
    </font>
  </fonts>
  <fills count="5">
    <fill>
      <patternFill patternType="none"/>
    </fill>
    <fill>
      <patternFill patternType="gray125"/>
    </fill>
    <fill>
      <patternFill patternType="solid">
        <fgColor rgb="FF000030"/>
      </patternFill>
    </fill>
    <fill>
      <patternFill patternType="solid">
        <fgColor rgb="FFE7E7E7"/>
      </patternFill>
    </fill>
    <fill>
      <patternFill patternType="solid">
        <fgColor rgb="FFFFFFFF"/>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center" wrapText="1"/>
    </xf>
    <xf numFmtId="0" fontId="0" fillId="3" borderId="0" xfId="0" applyFill="1" applyAlignment="1">
      <alignment vertical="top" wrapText="1"/>
    </xf>
    <xf numFmtId="0" fontId="3" fillId="3" borderId="0" xfId="0" applyFont="1" applyFill="1" applyAlignment="1">
      <alignment vertical="top" wrapText="1"/>
    </xf>
    <xf numFmtId="0" fontId="0" fillId="4" borderId="0" xfId="0" applyFill="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transparency.org/en/countries/china" TargetMode="External"/><Relationship Id="rId7" Type="http://schemas.openxmlformats.org/officeDocument/2006/relationships/hyperlink" Target="https://icsid.worldbank.org/about/member-states/database-of-member-states" TargetMode="External"/><Relationship Id="rId2" Type="http://schemas.openxmlformats.org/officeDocument/2006/relationships/hyperlink" Target="https://www.transparency.org/en/countries/brazil" TargetMode="External"/><Relationship Id="rId1" Type="http://schemas.openxmlformats.org/officeDocument/2006/relationships/hyperlink" Target="https://tratados.cancilleria.gob.ar/tratado_multi_ficha.php?id=k6KnnA" TargetMode="External"/><Relationship Id="rId6" Type="http://schemas.openxmlformats.org/officeDocument/2006/relationships/hyperlink" Target="https://worldjusticeproject.org/rule-of-law-index/country/2026/China/" TargetMode="External"/><Relationship Id="rId5" Type="http://schemas.openxmlformats.org/officeDocument/2006/relationships/hyperlink" Target="https://worldjusticeproject.org/rule-of-law-index/country/2026/Brazil/" TargetMode="External"/><Relationship Id="rId4" Type="http://schemas.openxmlformats.org/officeDocument/2006/relationships/hyperlink" Target="https://portal.stf.jus.br/jurisprudenciaRepercussao/tema.asp?num=885"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tais.wto.org/UI/PublicSearchByMemberResult.aspx?membercode=032" TargetMode="External"/><Relationship Id="rId18" Type="http://schemas.openxmlformats.org/officeDocument/2006/relationships/hyperlink" Target="https://api.worldbank.org/v2/country/all/indicator/GOV_WGI_GE.EST?source=3&amp;format=json&amp;date=2025&amp;per_page=400" TargetMode="External"/><Relationship Id="rId26" Type="http://schemas.openxmlformats.org/officeDocument/2006/relationships/hyperlink" Target="https://english.shanghai.gov.cn/en-Latest-WhatsNew/20251205/a825766482394866931d940fe48faedd.html" TargetMode="External"/><Relationship Id="rId39" Type="http://schemas.openxmlformats.org/officeDocument/2006/relationships/hyperlink" Target="https://thedocs.worldbank.org/en/doc/37511318c092e6fd4ca3c60f0af0bea3-0350012021/related/informal-economy-database.xlsx" TargetMode="External"/><Relationship Id="rId21" Type="http://schemas.openxmlformats.org/officeDocument/2006/relationships/hyperlink" Target="https://api.worldbank.org/v2/country/BRA;CHN;ESP/indicator/LP.LPI.OVRL.XQ?format=json&amp;mrnev=1" TargetMode="External"/><Relationship Id="rId34" Type="http://schemas.openxmlformats.org/officeDocument/2006/relationships/hyperlink" Target="https://api.bcb.gov.br/dados/serie/bcdata.sgs.1/dados?formato=json&amp;dataInicial=01/10/2024&amp;dataFinal=27/10/2026" TargetMode="External"/><Relationship Id="rId42" Type="http://schemas.openxmlformats.org/officeDocument/2006/relationships/hyperlink" Target="https://worldjusticeproject.org/rule-of-law-index/data/2026.csv" TargetMode="External"/><Relationship Id="rId47" Type="http://schemas.openxmlformats.org/officeDocument/2006/relationships/hyperlink" Target="https://dsbb.imf.org/sdds/country" TargetMode="External"/><Relationship Id="rId7" Type="http://schemas.openxmlformats.org/officeDocument/2006/relationships/hyperlink" Target="https://cambras.org.ar/" TargetMode="External"/><Relationship Id="rId2" Type="http://schemas.openxmlformats.org/officeDocument/2006/relationships/hyperlink" Target="https://subsites.chinadaily.com.cn/npc/2025-12/28/c_1151056.htm" TargetMode="External"/><Relationship Id="rId16" Type="http://schemas.openxmlformats.org/officeDocument/2006/relationships/hyperlink" Target="https://api.worldbank.org/v2/country/all/indicator/GOV_WGI_GE.EST?source=3&amp;format=json&amp;date=2025&amp;per_page=400" TargetMode="External"/><Relationship Id="rId29" Type="http://schemas.openxmlformats.org/officeDocument/2006/relationships/hyperlink" Target="https://api.imf.org/external/sdmx/2.1/data/IMF.RES,WEO/BRA+CHN+ESP.PPPPC+PCPIPCH.A?startPeriod=2022&amp;endPeriod=2026" TargetMode="External"/><Relationship Id="rId1" Type="http://schemas.openxmlformats.org/officeDocument/2006/relationships/hyperlink" Target="https://www.senado.leg.br/atividade/const/con1988/con1988_atual/art_13_.asp" TargetMode="External"/><Relationship Id="rId6" Type="http://schemas.openxmlformats.org/officeDocument/2006/relationships/hyperlink" Target="https://www.theculturefactor.com/country-comparison-tool?countries=argentina%2Cspain" TargetMode="External"/><Relationship Id="rId11" Type="http://schemas.openxmlformats.org/officeDocument/2006/relationships/hyperlink" Target="https://tratados.cancilleria.gob.ar/busqueda.php" TargetMode="External"/><Relationship Id="rId24" Type="http://schemas.openxmlformats.org/officeDocument/2006/relationships/hyperlink" Target="https://data.iana.org/time-zones/tzdata-latest.tar.gz" TargetMode="External"/><Relationship Id="rId32" Type="http://schemas.openxmlformats.org/officeDocument/2006/relationships/hyperlink" Target="https://api.imf.org/external/sdmx/2.1/data/IMF.RES,WEO/BRA+CHN+ESP.PPPPC+PCPIPCH.A?startPeriod=2022&amp;endPeriod=2026" TargetMode="External"/><Relationship Id="rId37" Type="http://schemas.openxmlformats.org/officeDocument/2006/relationships/hyperlink" Target="https://thedocs.worldbank.org/en/doc/37511318c092e6fd4ca3c60f0af0bea3-0350012021/related/informal-economy-database.xlsx" TargetMode="External"/><Relationship Id="rId40" Type="http://schemas.openxmlformats.org/officeDocument/2006/relationships/hyperlink" Target="https://worldjusticeproject.org/rule-of-law-index/country/2026/Spain/" TargetMode="External"/><Relationship Id="rId45" Type="http://schemas.openxmlformats.org/officeDocument/2006/relationships/hyperlink" Target="https://icsid.worldbank.org/about/member-states/database-of-member-states" TargetMode="External"/><Relationship Id="rId5" Type="http://schemas.openxmlformats.org/officeDocument/2006/relationships/hyperlink" Target="https://www.theculturefactor.com/country-comparison-tool?countries=argentina%2Cchina" TargetMode="External"/><Relationship Id="rId15" Type="http://schemas.openxmlformats.org/officeDocument/2006/relationships/hyperlink" Target="https://policy.trade.ec.europa.eu/news/eu-mercosur-interim-trade-agreement-starts-provisionally-apply-2026-04-30_en" TargetMode="External"/><Relationship Id="rId23" Type="http://schemas.openxmlformats.org/officeDocument/2006/relationships/hyperlink" Target="https://data.iana.org/time-zones/tzdata-latest.tar.gz" TargetMode="External"/><Relationship Id="rId28" Type="http://schemas.openxmlformats.org/officeDocument/2006/relationships/hyperlink" Target="https://api.imf.org/external/sdmx/2.1/data/IMF.RES,WEO/BRA+CHN+ESP.PPPPC+PCPIPCH.A?startPeriod=2022&amp;endPeriod=2026" TargetMode="External"/><Relationship Id="rId36" Type="http://schemas.openxmlformats.org/officeDocument/2006/relationships/hyperlink" Target="https://data-api.ecb.europa.eu/service/data/EXR/D.USD.EUR.SP00.A?startPeriod=2024-10-01&amp;format=csvdata" TargetMode="External"/><Relationship Id="rId10" Type="http://schemas.openxmlformats.org/officeDocument/2006/relationships/hyperlink" Target="https://tratados.cancilleria.gob.ar/busqueda.php" TargetMode="External"/><Relationship Id="rId19" Type="http://schemas.openxmlformats.org/officeDocument/2006/relationships/hyperlink" Target="https://api.worldbank.org/v2/country/BRA;CHN;ESP/indicator/LP.LPI.OVRL.XQ?format=json&amp;mrnev=1" TargetMode="External"/><Relationship Id="rId31" Type="http://schemas.openxmlformats.org/officeDocument/2006/relationships/hyperlink" Target="https://api.imf.org/external/sdmx/2.1/data/IMF.RES,WEO/BRA+CHN+ESP.PPPPC+PCPIPCH.A?startPeriod=2022&amp;endPeriod=2026" TargetMode="External"/><Relationship Id="rId44" Type="http://schemas.openxmlformats.org/officeDocument/2006/relationships/hyperlink" Target="https://icsid.worldbank.org/about/member-states/database-of-member-states" TargetMode="External"/><Relationship Id="rId4" Type="http://schemas.openxmlformats.org/officeDocument/2006/relationships/hyperlink" Target="https://www.theculturefactor.com/country-comparison-tool?countries=argentina%2Cbrazil" TargetMode="External"/><Relationship Id="rId9" Type="http://schemas.openxmlformats.org/officeDocument/2006/relationships/hyperlink" Target="https://www.cecra.com.ar/" TargetMode="External"/><Relationship Id="rId14" Type="http://schemas.openxmlformats.org/officeDocument/2006/relationships/hyperlink" Target="https://rtais.wto.org/UI/PublicSearchByMemberResult.aspx?membercode=156" TargetMode="External"/><Relationship Id="rId22" Type="http://schemas.openxmlformats.org/officeDocument/2006/relationships/hyperlink" Target="https://data.iana.org/time-zones/tzdata-latest.tar.gz" TargetMode="External"/><Relationship Id="rId27" Type="http://schemas.openxmlformats.org/officeDocument/2006/relationships/hyperlink" Target="https://www.aeropuertosargentina.com/vuelos?aeropuerto=EZE&amp;movtp=D" TargetMode="External"/><Relationship Id="rId30" Type="http://schemas.openxmlformats.org/officeDocument/2006/relationships/hyperlink" Target="https://api.imf.org/external/sdmx/2.1/data/IMF.RES,WEO/BRA+CHN+ESP.PPPPC+PCPIPCH.A?startPeriod=2022&amp;endPeriod=2026" TargetMode="External"/><Relationship Id="rId35" Type="http://schemas.openxmlformats.org/officeDocument/2006/relationships/hyperlink" Target="https://fred.stlouisfed.org/graph/fredgraph.csv?id=DEXCHUS&amp;cosd=2024-10-01" TargetMode="External"/><Relationship Id="rId43" Type="http://schemas.openxmlformats.org/officeDocument/2006/relationships/hyperlink" Target="https://worldjusticeproject.org/rule-of-law-index/data/2026.csv" TargetMode="External"/><Relationship Id="rId48" Type="http://schemas.openxmlformats.org/officeDocument/2006/relationships/hyperlink" Target="https://dsbb.imf.org/sdds-plus/country" TargetMode="External"/><Relationship Id="rId8" Type="http://schemas.openxmlformats.org/officeDocument/2006/relationships/hyperlink" Target="https://camaraargentinochina.org/" TargetMode="External"/><Relationship Id="rId3" Type="http://schemas.openxmlformats.org/officeDocument/2006/relationships/hyperlink" Target="https://www.boe.es/buscar/act.php?id=BOE-A-1978-31229" TargetMode="External"/><Relationship Id="rId12" Type="http://schemas.openxmlformats.org/officeDocument/2006/relationships/hyperlink" Target="https://www.transparency.org/en/countries/spain" TargetMode="External"/><Relationship Id="rId17" Type="http://schemas.openxmlformats.org/officeDocument/2006/relationships/hyperlink" Target="https://api.worldbank.org/v2/country/all/indicator/GOV_WGI_GE.EST?source=3&amp;format=json&amp;date=2025&amp;per_page=400" TargetMode="External"/><Relationship Id="rId25" Type="http://schemas.openxmlformats.org/officeDocument/2006/relationships/hyperlink" Target="https://www.aeropuertosargentina.com/vuelos?aeropuerto=EZE&amp;movtp=D" TargetMode="External"/><Relationship Id="rId33" Type="http://schemas.openxmlformats.org/officeDocument/2006/relationships/hyperlink" Target="https://api.imf.org/external/sdmx/2.1/data/IMF.RES,WEO/BRA+CHN+ESP.PPPPC+PCPIPCH.A?startPeriod=2022&amp;endPeriod=2026" TargetMode="External"/><Relationship Id="rId38" Type="http://schemas.openxmlformats.org/officeDocument/2006/relationships/hyperlink" Target="https://thedocs.worldbank.org/en/doc/37511318c092e6fd4ca3c60f0af0bea3-0350012021/related/informal-economy-database.xlsx" TargetMode="External"/><Relationship Id="rId46" Type="http://schemas.openxmlformats.org/officeDocument/2006/relationships/hyperlink" Target="https://dsbb.imf.org/sdds-plus/country" TargetMode="External"/><Relationship Id="rId20" Type="http://schemas.openxmlformats.org/officeDocument/2006/relationships/hyperlink" Target="https://api.worldbank.org/v2/country/BRA;CHN;ESP/indicator/LP.LPI.OVRL.XQ?format=json&amp;mrnev=1" TargetMode="External"/><Relationship Id="rId41" Type="http://schemas.openxmlformats.org/officeDocument/2006/relationships/hyperlink" Target="https://worldjusticeproject.org/rule-of-law-index/data/2026.csv"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icsid.worldbank.org/cases/case-database" TargetMode="External"/><Relationship Id="rId3" Type="http://schemas.openxmlformats.org/officeDocument/2006/relationships/hyperlink" Target="https://www.wto.org/english/tratop_e/dispu_e/dispu_status_e.htm" TargetMode="External"/><Relationship Id="rId7" Type="http://schemas.openxmlformats.org/officeDocument/2006/relationships/hyperlink" Target="https://icsid.worldbank.org/cases/case-database" TargetMode="External"/><Relationship Id="rId2" Type="http://schemas.openxmlformats.org/officeDocument/2006/relationships/hyperlink" Target="https://www.wto.org/english/tratop_e/dispu_e/dispu_status_e.htm" TargetMode="External"/><Relationship Id="rId1" Type="http://schemas.openxmlformats.org/officeDocument/2006/relationships/hyperlink" Target="https://www.wto.org/english/tratop_e/dispu_e/dispu_status_e.htm" TargetMode="External"/><Relationship Id="rId6" Type="http://schemas.openxmlformats.org/officeDocument/2006/relationships/hyperlink" Target="https://icsid.worldbank.org/cases/case-database" TargetMode="External"/><Relationship Id="rId5" Type="http://schemas.openxmlformats.org/officeDocument/2006/relationships/hyperlink" Target="https://www.eldiario.es/economia/espana-neutraliza-99-multimillonarias-reclamaciones-recortes-rajoy-renovables_1_12173639.html" TargetMode="External"/><Relationship Id="rId4" Type="http://schemas.openxmlformats.org/officeDocument/2006/relationships/hyperlink" Target="https://www.china-briefing.com/news/china-new-company-law-application-scope-retrospective-effect-supreme-court-judicial-interpret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abSelected="1" workbookViewId="0">
      <selection activeCell="A9" sqref="A9"/>
    </sheetView>
  </sheetViews>
  <sheetFormatPr baseColWidth="10" defaultColWidth="8.83203125" defaultRowHeight="15" x14ac:dyDescent="0.2"/>
  <cols>
    <col min="1" max="1" width="140" customWidth="1"/>
  </cols>
  <sheetData>
    <row r="1" spans="1:1" ht="20" x14ac:dyDescent="0.2">
      <c r="A1" s="1" t="s">
        <v>0</v>
      </c>
    </row>
    <row r="2" spans="1:1" ht="16" x14ac:dyDescent="0.2">
      <c r="A2" s="2" t="s">
        <v>1</v>
      </c>
    </row>
    <row r="3" spans="1:1" ht="16" x14ac:dyDescent="0.2">
      <c r="A3" s="2" t="s">
        <v>2</v>
      </c>
    </row>
    <row r="4" spans="1:1" x14ac:dyDescent="0.2">
      <c r="A4" s="2"/>
    </row>
    <row r="5" spans="1:1" ht="16" x14ac:dyDescent="0.2">
      <c r="A5" s="2" t="s">
        <v>3</v>
      </c>
    </row>
    <row r="6" spans="1:1" ht="16" x14ac:dyDescent="0.2">
      <c r="A6" s="2" t="s">
        <v>4</v>
      </c>
    </row>
    <row r="7" spans="1:1" ht="16" x14ac:dyDescent="0.2">
      <c r="A7" s="2" t="s">
        <v>5</v>
      </c>
    </row>
    <row r="8" spans="1:1" ht="16" x14ac:dyDescent="0.2">
      <c r="A8" s="2" t="s">
        <v>6</v>
      </c>
    </row>
    <row r="9" spans="1:1" ht="16" x14ac:dyDescent="0.2">
      <c r="A9" s="2" t="s">
        <v>7</v>
      </c>
    </row>
    <row r="10" spans="1:1" ht="16" x14ac:dyDescent="0.2">
      <c r="A10" s="2" t="s">
        <v>8</v>
      </c>
    </row>
    <row r="11" spans="1:1" x14ac:dyDescent="0.2">
      <c r="A11" s="2"/>
    </row>
    <row r="12" spans="1:1" ht="16" x14ac:dyDescent="0.2">
      <c r="A12" s="2" t="s">
        <v>9</v>
      </c>
    </row>
    <row r="13" spans="1:1" ht="16" x14ac:dyDescent="0.2">
      <c r="A13" s="2" t="s">
        <v>10</v>
      </c>
    </row>
    <row r="14" spans="1:1" ht="16" x14ac:dyDescent="0.2">
      <c r="A14" s="2" t="s">
        <v>11</v>
      </c>
    </row>
    <row r="15" spans="1:1" ht="16" x14ac:dyDescent="0.2">
      <c r="A15" s="2" t="s">
        <v>12</v>
      </c>
    </row>
    <row r="16" spans="1:1" x14ac:dyDescent="0.2">
      <c r="A16" s="2"/>
    </row>
    <row r="17" spans="1:1" ht="16" x14ac:dyDescent="0.2">
      <c r="A17" s="2" t="s">
        <v>13</v>
      </c>
    </row>
    <row r="18" spans="1:1" ht="48" x14ac:dyDescent="0.2">
      <c r="A18" s="2" t="s">
        <v>14</v>
      </c>
    </row>
    <row r="19" spans="1:1" ht="48" x14ac:dyDescent="0.2">
      <c r="A19" s="2" t="s">
        <v>15</v>
      </c>
    </row>
    <row r="20" spans="1:1" ht="48" x14ac:dyDescent="0.2">
      <c r="A20" s="2" t="s">
        <v>16</v>
      </c>
    </row>
  </sheetData>
  <sheetProtection sheet="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
  <sheetViews>
    <sheetView workbookViewId="0">
      <pane xSplit="3" ySplit="1" topLeftCell="J2" activePane="bottomRight" state="frozen"/>
      <selection pane="topRight"/>
      <selection pane="bottomLeft"/>
      <selection pane="bottomRight" activeCell="N8" sqref="N8"/>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17</v>
      </c>
      <c r="B1" s="3" t="s">
        <v>18</v>
      </c>
      <c r="C1" s="3" t="s">
        <v>19</v>
      </c>
      <c r="D1" s="3" t="s">
        <v>20</v>
      </c>
      <c r="E1" s="3" t="s">
        <v>21</v>
      </c>
      <c r="F1" s="3" t="s">
        <v>22</v>
      </c>
      <c r="G1" s="3" t="s">
        <v>23</v>
      </c>
      <c r="H1" s="3" t="s">
        <v>24</v>
      </c>
      <c r="I1" s="3" t="s">
        <v>25</v>
      </c>
      <c r="J1" s="3" t="s">
        <v>26</v>
      </c>
      <c r="K1" s="3" t="s">
        <v>27</v>
      </c>
      <c r="L1" s="3" t="s">
        <v>28</v>
      </c>
      <c r="M1" s="3" t="s">
        <v>29</v>
      </c>
      <c r="N1" s="3" t="s">
        <v>30</v>
      </c>
      <c r="O1" s="3" t="s">
        <v>31</v>
      </c>
      <c r="P1" s="3" t="s">
        <v>32</v>
      </c>
    </row>
    <row r="2" spans="1:16" ht="112" x14ac:dyDescent="0.2">
      <c r="A2" s="4" t="s">
        <v>33</v>
      </c>
      <c r="B2" s="4" t="s">
        <v>34</v>
      </c>
      <c r="C2" s="4" t="s">
        <v>35</v>
      </c>
      <c r="D2" s="4" t="s">
        <v>36</v>
      </c>
      <c r="E2" s="4" t="s">
        <v>37</v>
      </c>
      <c r="F2" s="4" t="s">
        <v>38</v>
      </c>
      <c r="G2" s="4" t="s">
        <v>39</v>
      </c>
      <c r="H2" s="5" t="s">
        <v>40</v>
      </c>
      <c r="I2" s="4" t="s">
        <v>41</v>
      </c>
      <c r="J2" s="4" t="s">
        <v>42</v>
      </c>
      <c r="K2" s="4" t="s">
        <v>43</v>
      </c>
      <c r="L2" s="4" t="s">
        <v>44</v>
      </c>
      <c r="M2" s="6" t="s">
        <v>97</v>
      </c>
      <c r="N2" s="6" t="s">
        <v>375</v>
      </c>
      <c r="O2" s="6"/>
      <c r="P2" s="4" t="s">
        <v>45</v>
      </c>
    </row>
    <row r="3" spans="1:16" ht="48" x14ac:dyDescent="0.2">
      <c r="A3" s="4" t="s">
        <v>33</v>
      </c>
      <c r="B3" s="4" t="s">
        <v>34</v>
      </c>
      <c r="C3" s="4" t="s">
        <v>46</v>
      </c>
      <c r="D3" s="4" t="s">
        <v>47</v>
      </c>
      <c r="E3" s="4" t="s">
        <v>48</v>
      </c>
      <c r="F3" s="4" t="s">
        <v>49</v>
      </c>
      <c r="G3" s="4" t="s">
        <v>50</v>
      </c>
      <c r="H3" s="5" t="s">
        <v>51</v>
      </c>
      <c r="I3" s="4" t="s">
        <v>52</v>
      </c>
      <c r="J3" s="4"/>
      <c r="K3" s="4"/>
      <c r="L3" s="4" t="s">
        <v>44</v>
      </c>
      <c r="M3" s="6" t="s">
        <v>97</v>
      </c>
      <c r="N3" s="6" t="s">
        <v>375</v>
      </c>
      <c r="O3" s="6"/>
      <c r="P3" s="4" t="s">
        <v>53</v>
      </c>
    </row>
    <row r="4" spans="1:16" ht="48" x14ac:dyDescent="0.2">
      <c r="A4" s="4" t="s">
        <v>54</v>
      </c>
      <c r="B4" s="4" t="s">
        <v>55</v>
      </c>
      <c r="C4" s="4" t="s">
        <v>46</v>
      </c>
      <c r="D4" s="4" t="s">
        <v>47</v>
      </c>
      <c r="E4" s="4" t="s">
        <v>48</v>
      </c>
      <c r="F4" s="4" t="s">
        <v>56</v>
      </c>
      <c r="G4" s="4" t="s">
        <v>57</v>
      </c>
      <c r="H4" s="5" t="s">
        <v>58</v>
      </c>
      <c r="I4" s="4" t="s">
        <v>52</v>
      </c>
      <c r="J4" s="4"/>
      <c r="K4" s="4"/>
      <c r="L4" s="4" t="s">
        <v>44</v>
      </c>
      <c r="M4" s="6" t="s">
        <v>97</v>
      </c>
      <c r="N4" s="6" t="s">
        <v>375</v>
      </c>
      <c r="O4" s="6"/>
      <c r="P4" s="4" t="s">
        <v>59</v>
      </c>
    </row>
    <row r="5" spans="1:16" ht="96" x14ac:dyDescent="0.2">
      <c r="A5" s="4" t="s">
        <v>33</v>
      </c>
      <c r="B5" s="4" t="s">
        <v>34</v>
      </c>
      <c r="C5" s="4" t="s">
        <v>60</v>
      </c>
      <c r="D5" s="4" t="s">
        <v>61</v>
      </c>
      <c r="E5" s="4" t="s">
        <v>48</v>
      </c>
      <c r="F5" s="4" t="s">
        <v>62</v>
      </c>
      <c r="G5" s="4" t="s">
        <v>63</v>
      </c>
      <c r="H5" s="5" t="s">
        <v>64</v>
      </c>
      <c r="I5" s="4" t="s">
        <v>65</v>
      </c>
      <c r="J5" s="4" t="s">
        <v>66</v>
      </c>
      <c r="K5" s="4"/>
      <c r="L5" s="4" t="s">
        <v>44</v>
      </c>
      <c r="M5" s="6" t="s">
        <v>97</v>
      </c>
      <c r="N5" s="6" t="s">
        <v>375</v>
      </c>
      <c r="O5" s="6"/>
      <c r="P5" s="4" t="s">
        <v>67</v>
      </c>
    </row>
    <row r="6" spans="1:16" ht="32" x14ac:dyDescent="0.2">
      <c r="A6" s="4" t="s">
        <v>33</v>
      </c>
      <c r="B6" s="4" t="s">
        <v>34</v>
      </c>
      <c r="C6" s="4" t="s">
        <v>68</v>
      </c>
      <c r="D6" s="4" t="s">
        <v>69</v>
      </c>
      <c r="E6" s="4" t="s">
        <v>48</v>
      </c>
      <c r="F6" s="4" t="s">
        <v>70</v>
      </c>
      <c r="G6" s="4" t="s">
        <v>71</v>
      </c>
      <c r="H6" s="5" t="s">
        <v>72</v>
      </c>
      <c r="I6" s="4" t="s">
        <v>73</v>
      </c>
      <c r="J6" s="4"/>
      <c r="K6" s="4"/>
      <c r="L6" s="4" t="s">
        <v>44</v>
      </c>
      <c r="M6" s="6" t="s">
        <v>97</v>
      </c>
      <c r="N6" s="6" t="s">
        <v>375</v>
      </c>
      <c r="O6" s="6"/>
      <c r="P6" s="4" t="s">
        <v>74</v>
      </c>
    </row>
    <row r="7" spans="1:16" ht="32" x14ac:dyDescent="0.2">
      <c r="A7" s="4" t="s">
        <v>54</v>
      </c>
      <c r="B7" s="4" t="s">
        <v>55</v>
      </c>
      <c r="C7" s="4" t="s">
        <v>68</v>
      </c>
      <c r="D7" s="4" t="s">
        <v>69</v>
      </c>
      <c r="E7" s="4" t="s">
        <v>48</v>
      </c>
      <c r="F7" s="4" t="s">
        <v>75</v>
      </c>
      <c r="G7" s="4" t="s">
        <v>76</v>
      </c>
      <c r="H7" s="5" t="s">
        <v>77</v>
      </c>
      <c r="I7" s="4" t="s">
        <v>73</v>
      </c>
      <c r="J7" s="4"/>
      <c r="K7" s="4"/>
      <c r="L7" s="4" t="s">
        <v>44</v>
      </c>
      <c r="M7" s="6" t="s">
        <v>97</v>
      </c>
      <c r="N7" s="6" t="s">
        <v>375</v>
      </c>
      <c r="O7" s="6"/>
      <c r="P7" s="4" t="s">
        <v>78</v>
      </c>
    </row>
    <row r="8" spans="1:16" ht="208" x14ac:dyDescent="0.2">
      <c r="A8" s="4" t="s">
        <v>33</v>
      </c>
      <c r="B8" s="4" t="s">
        <v>34</v>
      </c>
      <c r="C8" s="4" t="s">
        <v>79</v>
      </c>
      <c r="D8" s="4" t="s">
        <v>80</v>
      </c>
      <c r="E8" s="4" t="s">
        <v>48</v>
      </c>
      <c r="F8" s="4" t="s">
        <v>81</v>
      </c>
      <c r="G8" s="4" t="s">
        <v>82</v>
      </c>
      <c r="H8" s="5" t="s">
        <v>83</v>
      </c>
      <c r="I8" s="4" t="s">
        <v>84</v>
      </c>
      <c r="J8" s="4" t="s">
        <v>85</v>
      </c>
      <c r="K8" s="4" t="s">
        <v>86</v>
      </c>
      <c r="L8" s="4" t="s">
        <v>44</v>
      </c>
      <c r="M8" s="6" t="s">
        <v>97</v>
      </c>
      <c r="N8" s="6" t="s">
        <v>375</v>
      </c>
      <c r="O8" s="6"/>
      <c r="P8" s="4" t="s">
        <v>87</v>
      </c>
    </row>
  </sheetData>
  <sheetProtection formatColumns="0" formatRows="0" autoFilter="0"/>
  <autoFilter ref="A1:O8" xr:uid="{00000000-0009-0000-0000-000001000000}"/>
  <dataValidations count="2">
    <dataValidation type="list" allowBlank="1" showErrorMessage="1" errorTitle="Aprobado" error="Elegí &quot;sí&quot; o &quot;no&quot;." sqref="M2:M8" xr:uid="{00000000-0002-0000-0100-000000000000}">
      <formula1>"sí,no"</formula1>
    </dataValidation>
    <dataValidation type="list" allowBlank="1" showErrorMessage="1" errorTitle="Revisó" error="Elegí G (Giuliano) o A (Agustina)." sqref="N2:N8" xr:uid="{00000000-0002-0000-0100-000001000000}">
      <formula1>"G,A"</formula1>
    </dataValidation>
  </dataValidations>
  <hyperlinks>
    <hyperlink ref="H2" r:id="rId1" xr:uid="{00000000-0004-0000-0100-000000000000}"/>
    <hyperlink ref="H3" r:id="rId2" xr:uid="{00000000-0004-0000-0100-000001000000}"/>
    <hyperlink ref="H4" r:id="rId3" xr:uid="{00000000-0004-0000-0100-000002000000}"/>
    <hyperlink ref="H5" r:id="rId4" xr:uid="{00000000-0004-0000-0100-000003000000}"/>
    <hyperlink ref="H6" r:id="rId5" xr:uid="{00000000-0004-0000-0100-000004000000}"/>
    <hyperlink ref="H7" r:id="rId6" xr:uid="{00000000-0004-0000-0100-000005000000}"/>
    <hyperlink ref="H8" r:id="rId7" xr:uid="{00000000-0004-0000-0100-000006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0"/>
  <sheetViews>
    <sheetView workbookViewId="0">
      <pane xSplit="3" ySplit="1" topLeftCell="D40" activePane="bottomRight" state="frozen"/>
      <selection pane="topRight"/>
      <selection pane="bottomLeft"/>
      <selection pane="bottomRight" activeCell="D17" sqref="D17:F17"/>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17</v>
      </c>
      <c r="B1" s="3" t="s">
        <v>18</v>
      </c>
      <c r="C1" s="3" t="s">
        <v>19</v>
      </c>
      <c r="D1" s="3" t="s">
        <v>20</v>
      </c>
      <c r="E1" s="3" t="s">
        <v>21</v>
      </c>
      <c r="F1" s="3" t="s">
        <v>22</v>
      </c>
      <c r="G1" s="3" t="s">
        <v>23</v>
      </c>
      <c r="H1" s="3" t="s">
        <v>24</v>
      </c>
      <c r="I1" s="3" t="s">
        <v>25</v>
      </c>
      <c r="J1" s="3" t="s">
        <v>26</v>
      </c>
      <c r="K1" s="3" t="s">
        <v>27</v>
      </c>
      <c r="L1" s="3" t="s">
        <v>28</v>
      </c>
      <c r="M1" s="3" t="s">
        <v>29</v>
      </c>
      <c r="N1" s="3" t="s">
        <v>30</v>
      </c>
      <c r="O1" s="3" t="s">
        <v>31</v>
      </c>
      <c r="P1" s="3" t="s">
        <v>32</v>
      </c>
    </row>
    <row r="2" spans="1:16" ht="48" x14ac:dyDescent="0.2">
      <c r="A2" s="4" t="s">
        <v>33</v>
      </c>
      <c r="B2" s="4" t="s">
        <v>34</v>
      </c>
      <c r="C2" s="4" t="s">
        <v>88</v>
      </c>
      <c r="D2" s="4" t="s">
        <v>89</v>
      </c>
      <c r="E2" s="4" t="s">
        <v>90</v>
      </c>
      <c r="F2" s="4" t="s">
        <v>91</v>
      </c>
      <c r="G2" s="4" t="s">
        <v>92</v>
      </c>
      <c r="H2" s="5" t="s">
        <v>93</v>
      </c>
      <c r="I2" s="4" t="s">
        <v>94</v>
      </c>
      <c r="J2" s="4" t="s">
        <v>95</v>
      </c>
      <c r="K2" s="4"/>
      <c r="L2" s="4" t="s">
        <v>96</v>
      </c>
      <c r="M2" s="6" t="s">
        <v>97</v>
      </c>
      <c r="N2" s="6" t="s">
        <v>375</v>
      </c>
      <c r="O2" s="6"/>
      <c r="P2" s="4" t="s">
        <v>98</v>
      </c>
    </row>
    <row r="3" spans="1:16" ht="80" x14ac:dyDescent="0.2">
      <c r="A3" s="4" t="s">
        <v>54</v>
      </c>
      <c r="B3" s="4" t="s">
        <v>55</v>
      </c>
      <c r="C3" s="4" t="s">
        <v>88</v>
      </c>
      <c r="D3" s="4" t="s">
        <v>89</v>
      </c>
      <c r="E3" s="4" t="s">
        <v>90</v>
      </c>
      <c r="F3" s="4" t="s">
        <v>99</v>
      </c>
      <c r="G3" s="4" t="s">
        <v>100</v>
      </c>
      <c r="H3" s="5" t="s">
        <v>101</v>
      </c>
      <c r="I3" s="4" t="s">
        <v>102</v>
      </c>
      <c r="J3" s="4" t="s">
        <v>103</v>
      </c>
      <c r="K3" s="4"/>
      <c r="L3" s="4" t="s">
        <v>44</v>
      </c>
      <c r="M3" s="6" t="s">
        <v>97</v>
      </c>
      <c r="N3" s="6" t="s">
        <v>375</v>
      </c>
      <c r="O3" s="6"/>
      <c r="P3" s="4" t="s">
        <v>104</v>
      </c>
    </row>
    <row r="4" spans="1:16" ht="48" x14ac:dyDescent="0.2">
      <c r="A4" s="4" t="s">
        <v>105</v>
      </c>
      <c r="B4" s="4" t="s">
        <v>106</v>
      </c>
      <c r="C4" s="4" t="s">
        <v>88</v>
      </c>
      <c r="D4" s="4" t="s">
        <v>89</v>
      </c>
      <c r="E4" s="4" t="s">
        <v>37</v>
      </c>
      <c r="F4" s="4" t="s">
        <v>107</v>
      </c>
      <c r="G4" s="4" t="s">
        <v>108</v>
      </c>
      <c r="H4" s="5" t="s">
        <v>109</v>
      </c>
      <c r="I4" s="4" t="s">
        <v>110</v>
      </c>
      <c r="J4" s="4" t="s">
        <v>111</v>
      </c>
      <c r="K4" s="4"/>
      <c r="L4" s="4" t="s">
        <v>44</v>
      </c>
      <c r="M4" s="6" t="s">
        <v>97</v>
      </c>
      <c r="N4" s="6" t="s">
        <v>375</v>
      </c>
      <c r="O4" s="6"/>
      <c r="P4" s="4" t="s">
        <v>112</v>
      </c>
    </row>
    <row r="5" spans="1:16" ht="48" x14ac:dyDescent="0.2">
      <c r="A5" s="4" t="s">
        <v>33</v>
      </c>
      <c r="B5" s="4" t="s">
        <v>34</v>
      </c>
      <c r="C5" s="4" t="s">
        <v>113</v>
      </c>
      <c r="D5" s="4" t="s">
        <v>114</v>
      </c>
      <c r="E5" s="4" t="s">
        <v>37</v>
      </c>
      <c r="F5" s="4" t="s">
        <v>115</v>
      </c>
      <c r="G5" s="4" t="s">
        <v>116</v>
      </c>
      <c r="H5" s="5" t="s">
        <v>117</v>
      </c>
      <c r="I5" s="4" t="s">
        <v>118</v>
      </c>
      <c r="J5" s="4"/>
      <c r="K5" s="4"/>
      <c r="L5" s="4" t="s">
        <v>96</v>
      </c>
      <c r="M5" s="6" t="s">
        <v>97</v>
      </c>
      <c r="N5" s="6" t="s">
        <v>375</v>
      </c>
      <c r="O5" s="6"/>
      <c r="P5" s="4" t="s">
        <v>119</v>
      </c>
    </row>
    <row r="6" spans="1:16" ht="64" x14ac:dyDescent="0.2">
      <c r="A6" s="4" t="s">
        <v>54</v>
      </c>
      <c r="B6" s="4" t="s">
        <v>55</v>
      </c>
      <c r="C6" s="4" t="s">
        <v>113</v>
      </c>
      <c r="D6" s="4" t="s">
        <v>114</v>
      </c>
      <c r="E6" s="4" t="s">
        <v>90</v>
      </c>
      <c r="F6" s="4" t="s">
        <v>120</v>
      </c>
      <c r="G6" s="4" t="s">
        <v>121</v>
      </c>
      <c r="H6" s="5" t="s">
        <v>122</v>
      </c>
      <c r="I6" s="4" t="s">
        <v>118</v>
      </c>
      <c r="J6" s="4"/>
      <c r="K6" s="4"/>
      <c r="L6" s="4" t="s">
        <v>44</v>
      </c>
      <c r="M6" s="6" t="s">
        <v>97</v>
      </c>
      <c r="N6" s="6" t="s">
        <v>375</v>
      </c>
      <c r="O6" s="6"/>
      <c r="P6" s="4" t="s">
        <v>123</v>
      </c>
    </row>
    <row r="7" spans="1:16" ht="48" x14ac:dyDescent="0.2">
      <c r="A7" s="4" t="s">
        <v>105</v>
      </c>
      <c r="B7" s="4" t="s">
        <v>106</v>
      </c>
      <c r="C7" s="4" t="s">
        <v>113</v>
      </c>
      <c r="D7" s="4" t="s">
        <v>114</v>
      </c>
      <c r="E7" s="4" t="s">
        <v>37</v>
      </c>
      <c r="F7" s="4" t="s">
        <v>124</v>
      </c>
      <c r="G7" s="4" t="s">
        <v>125</v>
      </c>
      <c r="H7" s="5" t="s">
        <v>126</v>
      </c>
      <c r="I7" s="4" t="s">
        <v>118</v>
      </c>
      <c r="J7" s="4"/>
      <c r="K7" s="4"/>
      <c r="L7" s="4" t="s">
        <v>44</v>
      </c>
      <c r="M7" s="6" t="s">
        <v>97</v>
      </c>
      <c r="N7" s="6" t="s">
        <v>375</v>
      </c>
      <c r="O7" s="6"/>
      <c r="P7" s="4" t="s">
        <v>127</v>
      </c>
    </row>
    <row r="8" spans="1:16" ht="32" x14ac:dyDescent="0.2">
      <c r="A8" s="4" t="s">
        <v>33</v>
      </c>
      <c r="B8" s="4" t="s">
        <v>34</v>
      </c>
      <c r="C8" s="4" t="s">
        <v>128</v>
      </c>
      <c r="D8" s="4" t="s">
        <v>129</v>
      </c>
      <c r="E8" s="4" t="s">
        <v>37</v>
      </c>
      <c r="F8" s="4" t="s">
        <v>130</v>
      </c>
      <c r="G8" s="4" t="s">
        <v>131</v>
      </c>
      <c r="H8" s="5" t="s">
        <v>132</v>
      </c>
      <c r="I8" s="4" t="s">
        <v>133</v>
      </c>
      <c r="J8" s="4"/>
      <c r="K8" s="4"/>
      <c r="L8" s="4" t="s">
        <v>44</v>
      </c>
      <c r="M8" s="6" t="s">
        <v>97</v>
      </c>
      <c r="N8" s="6" t="s">
        <v>375</v>
      </c>
      <c r="O8" s="6"/>
      <c r="P8" s="4" t="s">
        <v>134</v>
      </c>
    </row>
    <row r="9" spans="1:16" ht="32" x14ac:dyDescent="0.2">
      <c r="A9" s="4" t="s">
        <v>54</v>
      </c>
      <c r="B9" s="4" t="s">
        <v>55</v>
      </c>
      <c r="C9" s="4" t="s">
        <v>128</v>
      </c>
      <c r="D9" s="4" t="s">
        <v>129</v>
      </c>
      <c r="E9" s="4" t="s">
        <v>37</v>
      </c>
      <c r="F9" s="4" t="s">
        <v>135</v>
      </c>
      <c r="G9" s="4" t="s">
        <v>136</v>
      </c>
      <c r="H9" s="5" t="s">
        <v>137</v>
      </c>
      <c r="I9" s="4" t="s">
        <v>138</v>
      </c>
      <c r="J9" s="4" t="s">
        <v>139</v>
      </c>
      <c r="K9" s="4"/>
      <c r="L9" s="4" t="s">
        <v>44</v>
      </c>
      <c r="M9" s="6" t="s">
        <v>97</v>
      </c>
      <c r="N9" s="6" t="s">
        <v>375</v>
      </c>
      <c r="O9" s="6"/>
      <c r="P9" s="4" t="s">
        <v>140</v>
      </c>
    </row>
    <row r="10" spans="1:16" ht="32" x14ac:dyDescent="0.2">
      <c r="A10" s="4" t="s">
        <v>105</v>
      </c>
      <c r="B10" s="4" t="s">
        <v>106</v>
      </c>
      <c r="C10" s="4" t="s">
        <v>128</v>
      </c>
      <c r="D10" s="4" t="s">
        <v>129</v>
      </c>
      <c r="E10" s="4" t="s">
        <v>37</v>
      </c>
      <c r="F10" s="4" t="s">
        <v>141</v>
      </c>
      <c r="G10" s="4" t="s">
        <v>142</v>
      </c>
      <c r="H10" s="5" t="s">
        <v>143</v>
      </c>
      <c r="I10" s="4" t="s">
        <v>144</v>
      </c>
      <c r="J10" s="4"/>
      <c r="K10" s="4"/>
      <c r="L10" s="4" t="s">
        <v>44</v>
      </c>
      <c r="M10" s="6" t="s">
        <v>97</v>
      </c>
      <c r="N10" s="6" t="s">
        <v>375</v>
      </c>
      <c r="O10" s="6"/>
      <c r="P10" s="4" t="s">
        <v>145</v>
      </c>
    </row>
    <row r="11" spans="1:16" ht="48" x14ac:dyDescent="0.2">
      <c r="A11" s="4" t="s">
        <v>54</v>
      </c>
      <c r="B11" s="4" t="s">
        <v>55</v>
      </c>
      <c r="C11" s="4" t="s">
        <v>35</v>
      </c>
      <c r="D11" s="4" t="s">
        <v>36</v>
      </c>
      <c r="E11" s="4" t="s">
        <v>37</v>
      </c>
      <c r="F11" s="4" t="s">
        <v>146</v>
      </c>
      <c r="G11" s="4" t="s">
        <v>147</v>
      </c>
      <c r="H11" s="5" t="s">
        <v>148</v>
      </c>
      <c r="I11" s="4" t="s">
        <v>149</v>
      </c>
      <c r="J11" s="4" t="s">
        <v>150</v>
      </c>
      <c r="K11" s="4"/>
      <c r="L11" s="4" t="s">
        <v>44</v>
      </c>
      <c r="M11" s="6" t="s">
        <v>97</v>
      </c>
      <c r="N11" s="6" t="s">
        <v>375</v>
      </c>
      <c r="O11" s="6"/>
      <c r="P11" s="4" t="s">
        <v>151</v>
      </c>
    </row>
    <row r="12" spans="1:16" ht="48" x14ac:dyDescent="0.2">
      <c r="A12" s="4" t="s">
        <v>105</v>
      </c>
      <c r="B12" s="4" t="s">
        <v>106</v>
      </c>
      <c r="C12" s="4" t="s">
        <v>35</v>
      </c>
      <c r="D12" s="4" t="s">
        <v>36</v>
      </c>
      <c r="E12" s="4" t="s">
        <v>37</v>
      </c>
      <c r="F12" s="4" t="s">
        <v>152</v>
      </c>
      <c r="G12" s="4" t="s">
        <v>153</v>
      </c>
      <c r="H12" s="5" t="s">
        <v>148</v>
      </c>
      <c r="I12" s="4" t="s">
        <v>149</v>
      </c>
      <c r="J12" s="4" t="s">
        <v>150</v>
      </c>
      <c r="K12" s="4"/>
      <c r="L12" s="4" t="s">
        <v>44</v>
      </c>
      <c r="M12" s="6" t="s">
        <v>97</v>
      </c>
      <c r="N12" s="6" t="s">
        <v>375</v>
      </c>
      <c r="O12" s="6"/>
      <c r="P12" s="4" t="s">
        <v>154</v>
      </c>
    </row>
    <row r="13" spans="1:16" ht="48" x14ac:dyDescent="0.2">
      <c r="A13" s="4" t="s">
        <v>105</v>
      </c>
      <c r="B13" s="4" t="s">
        <v>106</v>
      </c>
      <c r="C13" s="4" t="s">
        <v>46</v>
      </c>
      <c r="D13" s="4" t="s">
        <v>47</v>
      </c>
      <c r="E13" s="4" t="s">
        <v>37</v>
      </c>
      <c r="F13" s="4" t="s">
        <v>155</v>
      </c>
      <c r="G13" s="4" t="s">
        <v>156</v>
      </c>
      <c r="H13" s="5" t="s">
        <v>157</v>
      </c>
      <c r="I13" s="4" t="s">
        <v>52</v>
      </c>
      <c r="J13" s="4"/>
      <c r="K13" s="4"/>
      <c r="L13" s="4" t="s">
        <v>44</v>
      </c>
      <c r="M13" s="6" t="s">
        <v>97</v>
      </c>
      <c r="N13" s="6" t="s">
        <v>375</v>
      </c>
      <c r="O13" s="6"/>
      <c r="P13" s="4" t="s">
        <v>158</v>
      </c>
    </row>
    <row r="14" spans="1:16" ht="48" x14ac:dyDescent="0.2">
      <c r="A14" s="4" t="s">
        <v>33</v>
      </c>
      <c r="B14" s="4" t="s">
        <v>34</v>
      </c>
      <c r="C14" s="4" t="s">
        <v>159</v>
      </c>
      <c r="D14" s="4" t="s">
        <v>160</v>
      </c>
      <c r="E14" s="4" t="s">
        <v>37</v>
      </c>
      <c r="F14" s="4" t="s">
        <v>161</v>
      </c>
      <c r="G14" s="4" t="s">
        <v>162</v>
      </c>
      <c r="H14" s="5" t="s">
        <v>163</v>
      </c>
      <c r="I14" s="4" t="s">
        <v>164</v>
      </c>
      <c r="J14" s="4"/>
      <c r="K14" s="4"/>
      <c r="L14" s="4" t="s">
        <v>44</v>
      </c>
      <c r="M14" s="6" t="s">
        <v>97</v>
      </c>
      <c r="N14" s="6" t="s">
        <v>375</v>
      </c>
      <c r="O14" s="6"/>
      <c r="P14" s="4" t="s">
        <v>165</v>
      </c>
    </row>
    <row r="15" spans="1:16" ht="48" x14ac:dyDescent="0.2">
      <c r="A15" s="4" t="s">
        <v>54</v>
      </c>
      <c r="B15" s="4" t="s">
        <v>55</v>
      </c>
      <c r="C15" s="4" t="s">
        <v>159</v>
      </c>
      <c r="D15" s="4" t="s">
        <v>160</v>
      </c>
      <c r="E15" s="4" t="s">
        <v>90</v>
      </c>
      <c r="F15" s="4" t="s">
        <v>166</v>
      </c>
      <c r="G15" s="4" t="s">
        <v>167</v>
      </c>
      <c r="H15" s="5" t="s">
        <v>168</v>
      </c>
      <c r="I15" s="4" t="s">
        <v>164</v>
      </c>
      <c r="J15" s="4"/>
      <c r="K15" s="4"/>
      <c r="L15" s="4" t="s">
        <v>44</v>
      </c>
      <c r="M15" s="6" t="s">
        <v>97</v>
      </c>
      <c r="N15" s="6" t="s">
        <v>375</v>
      </c>
      <c r="O15" s="6"/>
      <c r="P15" s="4" t="s">
        <v>169</v>
      </c>
    </row>
    <row r="16" spans="1:16" ht="64" x14ac:dyDescent="0.2">
      <c r="A16" s="4" t="s">
        <v>105</v>
      </c>
      <c r="B16" s="4" t="s">
        <v>106</v>
      </c>
      <c r="C16" s="4" t="s">
        <v>159</v>
      </c>
      <c r="D16" s="4" t="s">
        <v>160</v>
      </c>
      <c r="E16" s="4" t="s">
        <v>37</v>
      </c>
      <c r="F16" s="4" t="s">
        <v>170</v>
      </c>
      <c r="G16" s="4" t="s">
        <v>171</v>
      </c>
      <c r="H16" s="5" t="s">
        <v>172</v>
      </c>
      <c r="I16" s="4" t="s">
        <v>173</v>
      </c>
      <c r="J16" s="4" t="s">
        <v>174</v>
      </c>
      <c r="K16" s="4"/>
      <c r="L16" s="4" t="s">
        <v>44</v>
      </c>
      <c r="M16" s="6" t="s">
        <v>97</v>
      </c>
      <c r="N16" s="6" t="s">
        <v>375</v>
      </c>
      <c r="O16" s="6"/>
      <c r="P16" s="4" t="s">
        <v>175</v>
      </c>
    </row>
    <row r="17" spans="1:16" ht="64" x14ac:dyDescent="0.2">
      <c r="A17" s="4" t="s">
        <v>33</v>
      </c>
      <c r="B17" s="4" t="s">
        <v>34</v>
      </c>
      <c r="C17" s="4" t="s">
        <v>176</v>
      </c>
      <c r="D17" s="4" t="s">
        <v>177</v>
      </c>
      <c r="E17" s="4" t="s">
        <v>90</v>
      </c>
      <c r="F17" s="4" t="s">
        <v>178</v>
      </c>
      <c r="G17" s="4" t="s">
        <v>179</v>
      </c>
      <c r="H17" s="5" t="s">
        <v>180</v>
      </c>
      <c r="I17" s="4" t="s">
        <v>181</v>
      </c>
      <c r="J17" s="4" t="s">
        <v>182</v>
      </c>
      <c r="K17" s="4"/>
      <c r="L17" s="4" t="s">
        <v>44</v>
      </c>
      <c r="M17" s="6" t="s">
        <v>97</v>
      </c>
      <c r="N17" s="6" t="s">
        <v>375</v>
      </c>
      <c r="O17" s="6"/>
      <c r="P17" s="4" t="s">
        <v>183</v>
      </c>
    </row>
    <row r="18" spans="1:16" ht="64" x14ac:dyDescent="0.2">
      <c r="A18" s="4" t="s">
        <v>54</v>
      </c>
      <c r="B18" s="4" t="s">
        <v>55</v>
      </c>
      <c r="C18" s="4" t="s">
        <v>176</v>
      </c>
      <c r="D18" s="4" t="s">
        <v>177</v>
      </c>
      <c r="E18" s="4" t="s">
        <v>37</v>
      </c>
      <c r="F18" s="4" t="s">
        <v>184</v>
      </c>
      <c r="G18" s="4" t="s">
        <v>185</v>
      </c>
      <c r="H18" s="5" t="s">
        <v>180</v>
      </c>
      <c r="I18" s="4" t="s">
        <v>181</v>
      </c>
      <c r="J18" s="4" t="s">
        <v>182</v>
      </c>
      <c r="K18" s="4"/>
      <c r="L18" s="4" t="s">
        <v>44</v>
      </c>
      <c r="M18" s="6" t="s">
        <v>97</v>
      </c>
      <c r="N18" s="6" t="s">
        <v>375</v>
      </c>
      <c r="O18" s="6"/>
      <c r="P18" s="4" t="s">
        <v>186</v>
      </c>
    </row>
    <row r="19" spans="1:16" ht="64" x14ac:dyDescent="0.2">
      <c r="A19" s="4" t="s">
        <v>105</v>
      </c>
      <c r="B19" s="4" t="s">
        <v>106</v>
      </c>
      <c r="C19" s="4" t="s">
        <v>176</v>
      </c>
      <c r="D19" s="4" t="s">
        <v>177</v>
      </c>
      <c r="E19" s="4" t="s">
        <v>37</v>
      </c>
      <c r="F19" s="4" t="s">
        <v>187</v>
      </c>
      <c r="G19" s="4" t="s">
        <v>188</v>
      </c>
      <c r="H19" s="5" t="s">
        <v>180</v>
      </c>
      <c r="I19" s="4" t="s">
        <v>181</v>
      </c>
      <c r="J19" s="4" t="s">
        <v>182</v>
      </c>
      <c r="K19" s="4"/>
      <c r="L19" s="4" t="s">
        <v>44</v>
      </c>
      <c r="M19" s="6" t="s">
        <v>97</v>
      </c>
      <c r="N19" s="6" t="s">
        <v>375</v>
      </c>
      <c r="O19" s="6"/>
      <c r="P19" s="4" t="s">
        <v>189</v>
      </c>
    </row>
    <row r="20" spans="1:16" ht="48" x14ac:dyDescent="0.2">
      <c r="A20" s="4" t="s">
        <v>33</v>
      </c>
      <c r="B20" s="4" t="s">
        <v>34</v>
      </c>
      <c r="C20" s="4" t="s">
        <v>190</v>
      </c>
      <c r="D20" s="4" t="s">
        <v>191</v>
      </c>
      <c r="E20" s="4" t="s">
        <v>37</v>
      </c>
      <c r="F20" s="4" t="s">
        <v>192</v>
      </c>
      <c r="G20" s="4" t="s">
        <v>193</v>
      </c>
      <c r="H20" s="5" t="s">
        <v>194</v>
      </c>
      <c r="I20" s="4" t="s">
        <v>195</v>
      </c>
      <c r="J20" s="4"/>
      <c r="K20" s="4"/>
      <c r="L20" s="4" t="s">
        <v>44</v>
      </c>
      <c r="M20" s="6" t="s">
        <v>97</v>
      </c>
      <c r="N20" s="6" t="s">
        <v>375</v>
      </c>
      <c r="O20" s="6"/>
      <c r="P20" s="4" t="s">
        <v>196</v>
      </c>
    </row>
    <row r="21" spans="1:16" ht="48" x14ac:dyDescent="0.2">
      <c r="A21" s="4" t="s">
        <v>54</v>
      </c>
      <c r="B21" s="4" t="s">
        <v>55</v>
      </c>
      <c r="C21" s="4" t="s">
        <v>190</v>
      </c>
      <c r="D21" s="4" t="s">
        <v>191</v>
      </c>
      <c r="E21" s="4" t="s">
        <v>37</v>
      </c>
      <c r="F21" s="4" t="s">
        <v>197</v>
      </c>
      <c r="G21" s="4" t="s">
        <v>198</v>
      </c>
      <c r="H21" s="5" t="s">
        <v>194</v>
      </c>
      <c r="I21" s="4" t="s">
        <v>195</v>
      </c>
      <c r="J21" s="4"/>
      <c r="K21" s="4"/>
      <c r="L21" s="4" t="s">
        <v>44</v>
      </c>
      <c r="M21" s="6" t="s">
        <v>97</v>
      </c>
      <c r="N21" s="6" t="s">
        <v>375</v>
      </c>
      <c r="O21" s="6"/>
      <c r="P21" s="4" t="s">
        <v>199</v>
      </c>
    </row>
    <row r="22" spans="1:16" ht="48" x14ac:dyDescent="0.2">
      <c r="A22" s="4" t="s">
        <v>105</v>
      </c>
      <c r="B22" s="4" t="s">
        <v>106</v>
      </c>
      <c r="C22" s="4" t="s">
        <v>190</v>
      </c>
      <c r="D22" s="4" t="s">
        <v>191</v>
      </c>
      <c r="E22" s="4" t="s">
        <v>37</v>
      </c>
      <c r="F22" s="4" t="s">
        <v>200</v>
      </c>
      <c r="G22" s="4" t="s">
        <v>201</v>
      </c>
      <c r="H22" s="5" t="s">
        <v>194</v>
      </c>
      <c r="I22" s="4" t="s">
        <v>195</v>
      </c>
      <c r="J22" s="4"/>
      <c r="K22" s="4"/>
      <c r="L22" s="4" t="s">
        <v>44</v>
      </c>
      <c r="M22" s="6" t="s">
        <v>97</v>
      </c>
      <c r="N22" s="6" t="s">
        <v>375</v>
      </c>
      <c r="O22" s="6"/>
      <c r="P22" s="4" t="s">
        <v>202</v>
      </c>
    </row>
    <row r="23" spans="1:16" ht="32" x14ac:dyDescent="0.2">
      <c r="A23" s="4" t="s">
        <v>33</v>
      </c>
      <c r="B23" s="4" t="s">
        <v>34</v>
      </c>
      <c r="C23" s="4" t="s">
        <v>203</v>
      </c>
      <c r="D23" s="4" t="s">
        <v>204</v>
      </c>
      <c r="E23" s="4" t="s">
        <v>37</v>
      </c>
      <c r="F23" s="4" t="s">
        <v>205</v>
      </c>
      <c r="G23" s="4" t="s">
        <v>206</v>
      </c>
      <c r="H23" s="5" t="s">
        <v>207</v>
      </c>
      <c r="I23" s="4" t="s">
        <v>208</v>
      </c>
      <c r="J23" s="4" t="s">
        <v>209</v>
      </c>
      <c r="K23" s="4"/>
      <c r="L23" s="4" t="s">
        <v>44</v>
      </c>
      <c r="M23" s="6" t="s">
        <v>97</v>
      </c>
      <c r="N23" s="6" t="s">
        <v>375</v>
      </c>
      <c r="O23" s="6"/>
      <c r="P23" s="4" t="s">
        <v>210</v>
      </c>
    </row>
    <row r="24" spans="1:16" ht="32" x14ac:dyDescent="0.2">
      <c r="A24" s="4" t="s">
        <v>54</v>
      </c>
      <c r="B24" s="4" t="s">
        <v>55</v>
      </c>
      <c r="C24" s="4" t="s">
        <v>203</v>
      </c>
      <c r="D24" s="4" t="s">
        <v>204</v>
      </c>
      <c r="E24" s="4" t="s">
        <v>90</v>
      </c>
      <c r="F24" s="4" t="s">
        <v>211</v>
      </c>
      <c r="G24" s="4" t="s">
        <v>212</v>
      </c>
      <c r="H24" s="5" t="s">
        <v>207</v>
      </c>
      <c r="I24" s="4" t="s">
        <v>208</v>
      </c>
      <c r="J24" s="4" t="s">
        <v>209</v>
      </c>
      <c r="K24" s="4"/>
      <c r="L24" s="4" t="s">
        <v>44</v>
      </c>
      <c r="M24" s="6" t="s">
        <v>97</v>
      </c>
      <c r="N24" s="6" t="s">
        <v>375</v>
      </c>
      <c r="O24" s="6"/>
      <c r="P24" s="4" t="s">
        <v>213</v>
      </c>
    </row>
    <row r="25" spans="1:16" ht="32" x14ac:dyDescent="0.2">
      <c r="A25" s="4" t="s">
        <v>105</v>
      </c>
      <c r="B25" s="4" t="s">
        <v>106</v>
      </c>
      <c r="C25" s="4" t="s">
        <v>203</v>
      </c>
      <c r="D25" s="4" t="s">
        <v>204</v>
      </c>
      <c r="E25" s="4" t="s">
        <v>37</v>
      </c>
      <c r="F25" s="4" t="s">
        <v>214</v>
      </c>
      <c r="G25" s="4" t="s">
        <v>215</v>
      </c>
      <c r="H25" s="5" t="s">
        <v>207</v>
      </c>
      <c r="I25" s="4" t="s">
        <v>208</v>
      </c>
      <c r="J25" s="4" t="s">
        <v>209</v>
      </c>
      <c r="K25" s="4"/>
      <c r="L25" s="4" t="s">
        <v>44</v>
      </c>
      <c r="M25" s="6" t="s">
        <v>97</v>
      </c>
      <c r="N25" s="6" t="s">
        <v>375</v>
      </c>
      <c r="O25" s="6"/>
      <c r="P25" s="4" t="s">
        <v>216</v>
      </c>
    </row>
    <row r="26" spans="1:16" ht="48" x14ac:dyDescent="0.2">
      <c r="A26" s="4" t="s">
        <v>33</v>
      </c>
      <c r="B26" s="4" t="s">
        <v>34</v>
      </c>
      <c r="C26" s="4" t="s">
        <v>217</v>
      </c>
      <c r="D26" s="4" t="s">
        <v>218</v>
      </c>
      <c r="E26" s="4" t="s">
        <v>37</v>
      </c>
      <c r="F26" s="4" t="s">
        <v>219</v>
      </c>
      <c r="G26" s="4" t="s">
        <v>220</v>
      </c>
      <c r="H26" s="5" t="s">
        <v>221</v>
      </c>
      <c r="I26" s="4" t="s">
        <v>222</v>
      </c>
      <c r="J26" s="4"/>
      <c r="K26" s="4"/>
      <c r="L26" s="4" t="s">
        <v>44</v>
      </c>
      <c r="M26" s="6" t="s">
        <v>97</v>
      </c>
      <c r="N26" s="6" t="s">
        <v>375</v>
      </c>
      <c r="O26" s="6"/>
      <c r="P26" s="4" t="s">
        <v>223</v>
      </c>
    </row>
    <row r="27" spans="1:16" ht="96" x14ac:dyDescent="0.2">
      <c r="A27" s="4" t="s">
        <v>54</v>
      </c>
      <c r="B27" s="4" t="s">
        <v>55</v>
      </c>
      <c r="C27" s="4" t="s">
        <v>217</v>
      </c>
      <c r="D27" s="4" t="s">
        <v>218</v>
      </c>
      <c r="E27" s="4" t="s">
        <v>90</v>
      </c>
      <c r="F27" s="4" t="s">
        <v>224</v>
      </c>
      <c r="G27" s="4" t="s">
        <v>225</v>
      </c>
      <c r="H27" s="5" t="s">
        <v>226</v>
      </c>
      <c r="I27" s="4" t="s">
        <v>227</v>
      </c>
      <c r="J27" s="4" t="s">
        <v>228</v>
      </c>
      <c r="K27" s="4"/>
      <c r="L27" s="4" t="s">
        <v>44</v>
      </c>
      <c r="M27" s="6" t="s">
        <v>97</v>
      </c>
      <c r="N27" s="6" t="s">
        <v>375</v>
      </c>
      <c r="O27" s="6"/>
      <c r="P27" s="4" t="s">
        <v>229</v>
      </c>
    </row>
    <row r="28" spans="1:16" ht="48" x14ac:dyDescent="0.2">
      <c r="A28" s="4" t="s">
        <v>105</v>
      </c>
      <c r="B28" s="4" t="s">
        <v>106</v>
      </c>
      <c r="C28" s="4" t="s">
        <v>217</v>
      </c>
      <c r="D28" s="4" t="s">
        <v>218</v>
      </c>
      <c r="E28" s="4" t="s">
        <v>37</v>
      </c>
      <c r="F28" s="4" t="s">
        <v>230</v>
      </c>
      <c r="G28" s="4" t="s">
        <v>231</v>
      </c>
      <c r="H28" s="5" t="s">
        <v>221</v>
      </c>
      <c r="I28" s="4" t="s">
        <v>222</v>
      </c>
      <c r="J28" s="4"/>
      <c r="K28" s="4"/>
      <c r="L28" s="4" t="s">
        <v>44</v>
      </c>
      <c r="M28" s="6" t="s">
        <v>97</v>
      </c>
      <c r="N28" s="6" t="s">
        <v>375</v>
      </c>
      <c r="O28" s="6"/>
      <c r="P28" s="4" t="s">
        <v>232</v>
      </c>
    </row>
    <row r="29" spans="1:16" ht="64" x14ac:dyDescent="0.2">
      <c r="A29" s="4" t="s">
        <v>33</v>
      </c>
      <c r="B29" s="4" t="s">
        <v>34</v>
      </c>
      <c r="C29" s="4" t="s">
        <v>233</v>
      </c>
      <c r="D29" s="4" t="s">
        <v>234</v>
      </c>
      <c r="E29" s="4" t="s">
        <v>37</v>
      </c>
      <c r="F29" s="4" t="s">
        <v>235</v>
      </c>
      <c r="G29" s="4" t="s">
        <v>236</v>
      </c>
      <c r="H29" s="5" t="s">
        <v>237</v>
      </c>
      <c r="I29" s="4" t="s">
        <v>238</v>
      </c>
      <c r="J29" s="4"/>
      <c r="K29" s="4"/>
      <c r="L29" s="4" t="s">
        <v>44</v>
      </c>
      <c r="M29" s="6" t="s">
        <v>97</v>
      </c>
      <c r="N29" s="6" t="s">
        <v>375</v>
      </c>
      <c r="O29" s="6"/>
      <c r="P29" s="4" t="s">
        <v>239</v>
      </c>
    </row>
    <row r="30" spans="1:16" ht="64" x14ac:dyDescent="0.2">
      <c r="A30" s="4" t="s">
        <v>54</v>
      </c>
      <c r="B30" s="4" t="s">
        <v>55</v>
      </c>
      <c r="C30" s="4" t="s">
        <v>233</v>
      </c>
      <c r="D30" s="4" t="s">
        <v>234</v>
      </c>
      <c r="E30" s="4" t="s">
        <v>37</v>
      </c>
      <c r="F30" s="4" t="s">
        <v>240</v>
      </c>
      <c r="G30" s="4" t="s">
        <v>241</v>
      </c>
      <c r="H30" s="5" t="s">
        <v>237</v>
      </c>
      <c r="I30" s="4" t="s">
        <v>238</v>
      </c>
      <c r="J30" s="4"/>
      <c r="K30" s="4"/>
      <c r="L30" s="4" t="s">
        <v>44</v>
      </c>
      <c r="M30" s="6" t="s">
        <v>97</v>
      </c>
      <c r="N30" s="6" t="s">
        <v>375</v>
      </c>
      <c r="O30" s="6"/>
      <c r="P30" s="4" t="s">
        <v>242</v>
      </c>
    </row>
    <row r="31" spans="1:16" ht="64" x14ac:dyDescent="0.2">
      <c r="A31" s="4" t="s">
        <v>105</v>
      </c>
      <c r="B31" s="4" t="s">
        <v>106</v>
      </c>
      <c r="C31" s="4" t="s">
        <v>233</v>
      </c>
      <c r="D31" s="4" t="s">
        <v>234</v>
      </c>
      <c r="E31" s="4" t="s">
        <v>37</v>
      </c>
      <c r="F31" s="4" t="s">
        <v>243</v>
      </c>
      <c r="G31" s="4" t="s">
        <v>244</v>
      </c>
      <c r="H31" s="5" t="s">
        <v>237</v>
      </c>
      <c r="I31" s="4" t="s">
        <v>238</v>
      </c>
      <c r="J31" s="4"/>
      <c r="K31" s="4"/>
      <c r="L31" s="4" t="s">
        <v>44</v>
      </c>
      <c r="M31" s="6" t="s">
        <v>97</v>
      </c>
      <c r="N31" s="6" t="s">
        <v>375</v>
      </c>
      <c r="O31" s="6"/>
      <c r="P31" s="4" t="s">
        <v>245</v>
      </c>
    </row>
    <row r="32" spans="1:16" ht="64" x14ac:dyDescent="0.2">
      <c r="A32" s="4" t="s">
        <v>33</v>
      </c>
      <c r="B32" s="4" t="s">
        <v>34</v>
      </c>
      <c r="C32" s="4" t="s">
        <v>246</v>
      </c>
      <c r="D32" s="4" t="s">
        <v>247</v>
      </c>
      <c r="E32" s="4" t="s">
        <v>37</v>
      </c>
      <c r="F32" s="4" t="s">
        <v>248</v>
      </c>
      <c r="G32" s="4" t="s">
        <v>249</v>
      </c>
      <c r="H32" s="5" t="s">
        <v>237</v>
      </c>
      <c r="I32" s="4" t="s">
        <v>238</v>
      </c>
      <c r="J32" s="4"/>
      <c r="K32" s="4"/>
      <c r="L32" s="4" t="s">
        <v>44</v>
      </c>
      <c r="M32" s="6" t="s">
        <v>97</v>
      </c>
      <c r="N32" s="6" t="s">
        <v>375</v>
      </c>
      <c r="O32" s="6"/>
      <c r="P32" s="4" t="s">
        <v>250</v>
      </c>
    </row>
    <row r="33" spans="1:16" ht="64" x14ac:dyDescent="0.2">
      <c r="A33" s="4" t="s">
        <v>54</v>
      </c>
      <c r="B33" s="4" t="s">
        <v>55</v>
      </c>
      <c r="C33" s="4" t="s">
        <v>246</v>
      </c>
      <c r="D33" s="4" t="s">
        <v>247</v>
      </c>
      <c r="E33" s="4" t="s">
        <v>37</v>
      </c>
      <c r="F33" s="4" t="s">
        <v>251</v>
      </c>
      <c r="G33" s="4" t="s">
        <v>252</v>
      </c>
      <c r="H33" s="5" t="s">
        <v>237</v>
      </c>
      <c r="I33" s="4" t="s">
        <v>238</v>
      </c>
      <c r="J33" s="4"/>
      <c r="K33" s="4"/>
      <c r="L33" s="4" t="s">
        <v>44</v>
      </c>
      <c r="M33" s="6" t="s">
        <v>97</v>
      </c>
      <c r="N33" s="6" t="s">
        <v>375</v>
      </c>
      <c r="O33" s="6"/>
      <c r="P33" s="4" t="s">
        <v>253</v>
      </c>
    </row>
    <row r="34" spans="1:16" ht="64" x14ac:dyDescent="0.2">
      <c r="A34" s="4" t="s">
        <v>105</v>
      </c>
      <c r="B34" s="4" t="s">
        <v>106</v>
      </c>
      <c r="C34" s="4" t="s">
        <v>246</v>
      </c>
      <c r="D34" s="4" t="s">
        <v>247</v>
      </c>
      <c r="E34" s="4" t="s">
        <v>37</v>
      </c>
      <c r="F34" s="4" t="s">
        <v>254</v>
      </c>
      <c r="G34" s="4" t="s">
        <v>255</v>
      </c>
      <c r="H34" s="5" t="s">
        <v>237</v>
      </c>
      <c r="I34" s="4" t="s">
        <v>238</v>
      </c>
      <c r="J34" s="4"/>
      <c r="K34" s="4"/>
      <c r="L34" s="4" t="s">
        <v>44</v>
      </c>
      <c r="M34" s="6" t="s">
        <v>97</v>
      </c>
      <c r="N34" s="6" t="s">
        <v>375</v>
      </c>
      <c r="O34" s="6"/>
      <c r="P34" s="4" t="s">
        <v>256</v>
      </c>
    </row>
    <row r="35" spans="1:16" ht="64" x14ac:dyDescent="0.2">
      <c r="A35" s="4" t="s">
        <v>33</v>
      </c>
      <c r="B35" s="4" t="s">
        <v>34</v>
      </c>
      <c r="C35" s="4" t="s">
        <v>257</v>
      </c>
      <c r="D35" s="4" t="s">
        <v>258</v>
      </c>
      <c r="E35" s="4" t="s">
        <v>37</v>
      </c>
      <c r="F35" s="4" t="s">
        <v>259</v>
      </c>
      <c r="G35" s="4" t="s">
        <v>260</v>
      </c>
      <c r="H35" s="5" t="s">
        <v>261</v>
      </c>
      <c r="I35" s="4" t="s">
        <v>262</v>
      </c>
      <c r="J35" s="4"/>
      <c r="K35" s="4"/>
      <c r="L35" s="4" t="s">
        <v>44</v>
      </c>
      <c r="M35" s="6" t="s">
        <v>97</v>
      </c>
      <c r="N35" s="6" t="s">
        <v>375</v>
      </c>
      <c r="O35" s="6"/>
      <c r="P35" s="4" t="s">
        <v>263</v>
      </c>
    </row>
    <row r="36" spans="1:16" ht="48" x14ac:dyDescent="0.2">
      <c r="A36" s="4" t="s">
        <v>54</v>
      </c>
      <c r="B36" s="4" t="s">
        <v>55</v>
      </c>
      <c r="C36" s="4" t="s">
        <v>257</v>
      </c>
      <c r="D36" s="4" t="s">
        <v>258</v>
      </c>
      <c r="E36" s="4" t="s">
        <v>37</v>
      </c>
      <c r="F36" s="4" t="s">
        <v>264</v>
      </c>
      <c r="G36" s="4" t="s">
        <v>265</v>
      </c>
      <c r="H36" s="5" t="s">
        <v>266</v>
      </c>
      <c r="I36" s="4" t="s">
        <v>267</v>
      </c>
      <c r="J36" s="4" t="s">
        <v>268</v>
      </c>
      <c r="K36" s="4"/>
      <c r="L36" s="4" t="s">
        <v>44</v>
      </c>
      <c r="M36" s="6" t="s">
        <v>97</v>
      </c>
      <c r="N36" s="6" t="s">
        <v>375</v>
      </c>
      <c r="O36" s="6"/>
      <c r="P36" s="4" t="s">
        <v>269</v>
      </c>
    </row>
    <row r="37" spans="1:16" ht="64" x14ac:dyDescent="0.2">
      <c r="A37" s="4" t="s">
        <v>105</v>
      </c>
      <c r="B37" s="4" t="s">
        <v>106</v>
      </c>
      <c r="C37" s="4" t="s">
        <v>257</v>
      </c>
      <c r="D37" s="4" t="s">
        <v>258</v>
      </c>
      <c r="E37" s="4" t="s">
        <v>37</v>
      </c>
      <c r="F37" s="4" t="s">
        <v>270</v>
      </c>
      <c r="G37" s="4" t="s">
        <v>271</v>
      </c>
      <c r="H37" s="5" t="s">
        <v>272</v>
      </c>
      <c r="I37" s="4" t="s">
        <v>273</v>
      </c>
      <c r="J37" s="4" t="s">
        <v>274</v>
      </c>
      <c r="K37" s="4"/>
      <c r="L37" s="4" t="s">
        <v>44</v>
      </c>
      <c r="M37" s="6" t="s">
        <v>97</v>
      </c>
      <c r="N37" s="6" t="s">
        <v>375</v>
      </c>
      <c r="O37" s="6"/>
      <c r="P37" s="4" t="s">
        <v>275</v>
      </c>
    </row>
    <row r="38" spans="1:16" ht="64" x14ac:dyDescent="0.2">
      <c r="A38" s="4" t="s">
        <v>33</v>
      </c>
      <c r="B38" s="4" t="s">
        <v>34</v>
      </c>
      <c r="C38" s="4" t="s">
        <v>276</v>
      </c>
      <c r="D38" s="4" t="s">
        <v>277</v>
      </c>
      <c r="E38" s="4" t="s">
        <v>90</v>
      </c>
      <c r="F38" s="4" t="s">
        <v>278</v>
      </c>
      <c r="G38" s="4" t="s">
        <v>279</v>
      </c>
      <c r="H38" s="5" t="s">
        <v>280</v>
      </c>
      <c r="I38" s="4" t="s">
        <v>281</v>
      </c>
      <c r="J38" s="4" t="s">
        <v>282</v>
      </c>
      <c r="K38" s="4"/>
      <c r="L38" s="4" t="s">
        <v>44</v>
      </c>
      <c r="M38" s="6" t="s">
        <v>97</v>
      </c>
      <c r="N38" s="6" t="s">
        <v>375</v>
      </c>
      <c r="O38" s="6"/>
      <c r="P38" s="4" t="s">
        <v>283</v>
      </c>
    </row>
    <row r="39" spans="1:16" ht="64" x14ac:dyDescent="0.2">
      <c r="A39" s="4" t="s">
        <v>54</v>
      </c>
      <c r="B39" s="4" t="s">
        <v>55</v>
      </c>
      <c r="C39" s="4" t="s">
        <v>276</v>
      </c>
      <c r="D39" s="4" t="s">
        <v>277</v>
      </c>
      <c r="E39" s="4" t="s">
        <v>37</v>
      </c>
      <c r="F39" s="4" t="s">
        <v>284</v>
      </c>
      <c r="G39" s="4" t="s">
        <v>285</v>
      </c>
      <c r="H39" s="5" t="s">
        <v>280</v>
      </c>
      <c r="I39" s="4" t="s">
        <v>281</v>
      </c>
      <c r="J39" s="4" t="s">
        <v>286</v>
      </c>
      <c r="K39" s="4"/>
      <c r="L39" s="4" t="s">
        <v>44</v>
      </c>
      <c r="M39" s="6" t="s">
        <v>97</v>
      </c>
      <c r="N39" s="6" t="s">
        <v>375</v>
      </c>
      <c r="O39" s="6"/>
      <c r="P39" s="4" t="s">
        <v>287</v>
      </c>
    </row>
    <row r="40" spans="1:16" ht="64" x14ac:dyDescent="0.2">
      <c r="A40" s="4" t="s">
        <v>105</v>
      </c>
      <c r="B40" s="4" t="s">
        <v>106</v>
      </c>
      <c r="C40" s="4" t="s">
        <v>276</v>
      </c>
      <c r="D40" s="4" t="s">
        <v>277</v>
      </c>
      <c r="E40" s="4" t="s">
        <v>37</v>
      </c>
      <c r="F40" s="4" t="s">
        <v>288</v>
      </c>
      <c r="G40" s="4" t="s">
        <v>289</v>
      </c>
      <c r="H40" s="5" t="s">
        <v>280</v>
      </c>
      <c r="I40" s="4" t="s">
        <v>281</v>
      </c>
      <c r="J40" s="4" t="s">
        <v>286</v>
      </c>
      <c r="K40" s="4"/>
      <c r="L40" s="4" t="s">
        <v>44</v>
      </c>
      <c r="M40" s="6" t="s">
        <v>97</v>
      </c>
      <c r="N40" s="6" t="s">
        <v>375</v>
      </c>
      <c r="O40" s="6"/>
      <c r="P40" s="4" t="s">
        <v>290</v>
      </c>
    </row>
    <row r="41" spans="1:16" ht="32" x14ac:dyDescent="0.2">
      <c r="A41" s="4" t="s">
        <v>105</v>
      </c>
      <c r="B41" s="4" t="s">
        <v>106</v>
      </c>
      <c r="C41" s="4" t="s">
        <v>68</v>
      </c>
      <c r="D41" s="4" t="s">
        <v>69</v>
      </c>
      <c r="E41" s="4" t="s">
        <v>37</v>
      </c>
      <c r="F41" s="4" t="s">
        <v>291</v>
      </c>
      <c r="G41" s="4" t="s">
        <v>292</v>
      </c>
      <c r="H41" s="5" t="s">
        <v>293</v>
      </c>
      <c r="I41" s="4" t="s">
        <v>73</v>
      </c>
      <c r="J41" s="4"/>
      <c r="K41" s="4"/>
      <c r="L41" s="4" t="s">
        <v>44</v>
      </c>
      <c r="M41" s="6" t="s">
        <v>97</v>
      </c>
      <c r="N41" s="6" t="s">
        <v>375</v>
      </c>
      <c r="O41" s="6"/>
      <c r="P41" s="4" t="s">
        <v>294</v>
      </c>
    </row>
    <row r="42" spans="1:16" ht="64" x14ac:dyDescent="0.2">
      <c r="A42" s="4" t="s">
        <v>33</v>
      </c>
      <c r="B42" s="4" t="s">
        <v>34</v>
      </c>
      <c r="C42" s="4" t="s">
        <v>295</v>
      </c>
      <c r="D42" s="4" t="s">
        <v>296</v>
      </c>
      <c r="E42" s="4" t="s">
        <v>90</v>
      </c>
      <c r="F42" s="4" t="s">
        <v>297</v>
      </c>
      <c r="G42" s="4" t="s">
        <v>298</v>
      </c>
      <c r="H42" s="5" t="s">
        <v>299</v>
      </c>
      <c r="I42" s="4" t="s">
        <v>300</v>
      </c>
      <c r="J42" s="4"/>
      <c r="K42" s="4"/>
      <c r="L42" s="4" t="s">
        <v>44</v>
      </c>
      <c r="M42" s="6" t="s">
        <v>97</v>
      </c>
      <c r="N42" s="6" t="s">
        <v>375</v>
      </c>
      <c r="O42" s="6"/>
      <c r="P42" s="4" t="s">
        <v>301</v>
      </c>
    </row>
    <row r="43" spans="1:16" ht="64" x14ac:dyDescent="0.2">
      <c r="A43" s="4" t="s">
        <v>54</v>
      </c>
      <c r="B43" s="4" t="s">
        <v>55</v>
      </c>
      <c r="C43" s="4" t="s">
        <v>295</v>
      </c>
      <c r="D43" s="4" t="s">
        <v>296</v>
      </c>
      <c r="E43" s="4" t="s">
        <v>37</v>
      </c>
      <c r="F43" s="4" t="s">
        <v>302</v>
      </c>
      <c r="G43" s="4" t="s">
        <v>303</v>
      </c>
      <c r="H43" s="5" t="s">
        <v>299</v>
      </c>
      <c r="I43" s="4" t="s">
        <v>300</v>
      </c>
      <c r="J43" s="4"/>
      <c r="K43" s="4"/>
      <c r="L43" s="4" t="s">
        <v>44</v>
      </c>
      <c r="M43" s="6" t="s">
        <v>97</v>
      </c>
      <c r="N43" s="6" t="s">
        <v>375</v>
      </c>
      <c r="O43" s="6"/>
      <c r="P43" s="4" t="s">
        <v>304</v>
      </c>
    </row>
    <row r="44" spans="1:16" ht="64" x14ac:dyDescent="0.2">
      <c r="A44" s="4" t="s">
        <v>105</v>
      </c>
      <c r="B44" s="4" t="s">
        <v>106</v>
      </c>
      <c r="C44" s="4" t="s">
        <v>295</v>
      </c>
      <c r="D44" s="4" t="s">
        <v>296</v>
      </c>
      <c r="E44" s="4" t="s">
        <v>37</v>
      </c>
      <c r="F44" s="4" t="s">
        <v>305</v>
      </c>
      <c r="G44" s="4" t="s">
        <v>306</v>
      </c>
      <c r="H44" s="5" t="s">
        <v>299</v>
      </c>
      <c r="I44" s="4" t="s">
        <v>300</v>
      </c>
      <c r="J44" s="4"/>
      <c r="K44" s="4"/>
      <c r="L44" s="4" t="s">
        <v>44</v>
      </c>
      <c r="M44" s="6" t="s">
        <v>97</v>
      </c>
      <c r="N44" s="6" t="s">
        <v>375</v>
      </c>
      <c r="O44" s="6"/>
      <c r="P44" s="4" t="s">
        <v>307</v>
      </c>
    </row>
    <row r="45" spans="1:16" ht="48" x14ac:dyDescent="0.2">
      <c r="A45" s="4" t="s">
        <v>54</v>
      </c>
      <c r="B45" s="4" t="s">
        <v>55</v>
      </c>
      <c r="C45" s="4" t="s">
        <v>79</v>
      </c>
      <c r="D45" s="4" t="s">
        <v>80</v>
      </c>
      <c r="E45" s="4" t="s">
        <v>37</v>
      </c>
      <c r="F45" s="4" t="s">
        <v>308</v>
      </c>
      <c r="G45" s="4" t="s">
        <v>309</v>
      </c>
      <c r="H45" s="5" t="s">
        <v>83</v>
      </c>
      <c r="I45" s="4" t="s">
        <v>310</v>
      </c>
      <c r="J45" s="4"/>
      <c r="K45" s="4"/>
      <c r="L45" s="4" t="s">
        <v>44</v>
      </c>
      <c r="M45" s="6" t="s">
        <v>97</v>
      </c>
      <c r="N45" s="6" t="s">
        <v>375</v>
      </c>
      <c r="O45" s="6"/>
      <c r="P45" s="4" t="s">
        <v>311</v>
      </c>
    </row>
    <row r="46" spans="1:16" ht="48" x14ac:dyDescent="0.2">
      <c r="A46" s="4" t="s">
        <v>105</v>
      </c>
      <c r="B46" s="4" t="s">
        <v>106</v>
      </c>
      <c r="C46" s="4" t="s">
        <v>79</v>
      </c>
      <c r="D46" s="4" t="s">
        <v>80</v>
      </c>
      <c r="E46" s="4" t="s">
        <v>37</v>
      </c>
      <c r="F46" s="4" t="s">
        <v>312</v>
      </c>
      <c r="G46" s="4" t="s">
        <v>313</v>
      </c>
      <c r="H46" s="5" t="s">
        <v>83</v>
      </c>
      <c r="I46" s="4" t="s">
        <v>310</v>
      </c>
      <c r="J46" s="4"/>
      <c r="K46" s="4"/>
      <c r="L46" s="4" t="s">
        <v>44</v>
      </c>
      <c r="M46" s="6" t="s">
        <v>97</v>
      </c>
      <c r="N46" s="6" t="s">
        <v>375</v>
      </c>
      <c r="O46" s="6"/>
      <c r="P46" s="4" t="s">
        <v>314</v>
      </c>
    </row>
    <row r="47" spans="1:16" ht="64" x14ac:dyDescent="0.2">
      <c r="A47" s="4" t="s">
        <v>33</v>
      </c>
      <c r="B47" s="4" t="s">
        <v>34</v>
      </c>
      <c r="C47" s="4" t="s">
        <v>315</v>
      </c>
      <c r="D47" s="4" t="s">
        <v>316</v>
      </c>
      <c r="E47" s="4" t="s">
        <v>37</v>
      </c>
      <c r="F47" s="4" t="s">
        <v>317</v>
      </c>
      <c r="G47" s="4" t="s">
        <v>318</v>
      </c>
      <c r="H47" s="5" t="s">
        <v>319</v>
      </c>
      <c r="I47" s="4" t="s">
        <v>320</v>
      </c>
      <c r="J47" s="4" t="s">
        <v>321</v>
      </c>
      <c r="K47" s="4"/>
      <c r="L47" s="4" t="s">
        <v>44</v>
      </c>
      <c r="M47" s="6" t="s">
        <v>97</v>
      </c>
      <c r="N47" s="6" t="s">
        <v>375</v>
      </c>
      <c r="O47" s="6"/>
      <c r="P47" s="4" t="s">
        <v>322</v>
      </c>
    </row>
    <row r="48" spans="1:16" ht="64" x14ac:dyDescent="0.2">
      <c r="A48" s="4" t="s">
        <v>54</v>
      </c>
      <c r="B48" s="4" t="s">
        <v>55</v>
      </c>
      <c r="C48" s="4" t="s">
        <v>315</v>
      </c>
      <c r="D48" s="4" t="s">
        <v>316</v>
      </c>
      <c r="E48" s="4" t="s">
        <v>37</v>
      </c>
      <c r="F48" s="4" t="s">
        <v>323</v>
      </c>
      <c r="G48" s="4" t="s">
        <v>324</v>
      </c>
      <c r="H48" s="5" t="s">
        <v>325</v>
      </c>
      <c r="I48" s="4" t="s">
        <v>326</v>
      </c>
      <c r="J48" s="4" t="s">
        <v>321</v>
      </c>
      <c r="K48" s="4"/>
      <c r="L48" s="4" t="s">
        <v>44</v>
      </c>
      <c r="M48" s="6" t="s">
        <v>97</v>
      </c>
      <c r="N48" s="6" t="s">
        <v>375</v>
      </c>
      <c r="O48" s="6"/>
      <c r="P48" s="4" t="s">
        <v>327</v>
      </c>
    </row>
    <row r="49" spans="1:16" ht="64" x14ac:dyDescent="0.2">
      <c r="A49" s="4" t="s">
        <v>105</v>
      </c>
      <c r="B49" s="4" t="s">
        <v>106</v>
      </c>
      <c r="C49" s="4" t="s">
        <v>315</v>
      </c>
      <c r="D49" s="4" t="s">
        <v>316</v>
      </c>
      <c r="E49" s="4" t="s">
        <v>37</v>
      </c>
      <c r="F49" s="4" t="s">
        <v>328</v>
      </c>
      <c r="G49" s="4" t="s">
        <v>318</v>
      </c>
      <c r="H49" s="5" t="s">
        <v>319</v>
      </c>
      <c r="I49" s="4" t="s">
        <v>320</v>
      </c>
      <c r="J49" s="4" t="s">
        <v>321</v>
      </c>
      <c r="K49" s="4"/>
      <c r="L49" s="4" t="s">
        <v>44</v>
      </c>
      <c r="M49" s="6" t="s">
        <v>97</v>
      </c>
      <c r="N49" s="6" t="s">
        <v>375</v>
      </c>
      <c r="O49" s="6"/>
      <c r="P49" s="4" t="s">
        <v>329</v>
      </c>
    </row>
    <row r="50" spans="1:16" x14ac:dyDescent="0.2">
      <c r="N50" s="6"/>
    </row>
  </sheetData>
  <sheetProtection formatColumns="0" formatRows="0" autoFilter="0"/>
  <autoFilter ref="A1:O49" xr:uid="{00000000-0009-0000-0000-000002000000}"/>
  <dataValidations count="2">
    <dataValidation type="list" allowBlank="1" showErrorMessage="1" errorTitle="Aprobado" error="Elegí &quot;sí&quot; o &quot;no&quot;." sqref="M2:M49" xr:uid="{00000000-0002-0000-0200-000000000000}">
      <formula1>"sí,no"</formula1>
    </dataValidation>
    <dataValidation type="list" allowBlank="1" showErrorMessage="1" errorTitle="Revisó" error="Elegí G (Giuliano) o A (Agustina)." sqref="N2:N49" xr:uid="{00000000-0002-0000-0200-000001000000}">
      <formula1>"G,A"</formula1>
    </dataValidation>
  </dataValidations>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 ref="H9" r:id="rId8" xr:uid="{00000000-0004-0000-0200-000007000000}"/>
    <hyperlink ref="H10" r:id="rId9" xr:uid="{00000000-0004-0000-0200-000008000000}"/>
    <hyperlink ref="H11" r:id="rId10" xr:uid="{00000000-0004-0000-0200-000009000000}"/>
    <hyperlink ref="H12" r:id="rId11" xr:uid="{00000000-0004-0000-0200-00000A000000}"/>
    <hyperlink ref="H13" r:id="rId12" xr:uid="{00000000-0004-0000-0200-00000B000000}"/>
    <hyperlink ref="H14" r:id="rId13" xr:uid="{00000000-0004-0000-0200-00000C000000}"/>
    <hyperlink ref="H15" r:id="rId14" xr:uid="{00000000-0004-0000-0200-00000D000000}"/>
    <hyperlink ref="H16" r:id="rId15" xr:uid="{00000000-0004-0000-0200-00000E000000}"/>
    <hyperlink ref="H17" r:id="rId16" xr:uid="{00000000-0004-0000-0200-00000F000000}"/>
    <hyperlink ref="H18" r:id="rId17" xr:uid="{00000000-0004-0000-0200-000010000000}"/>
    <hyperlink ref="H19" r:id="rId18" xr:uid="{00000000-0004-0000-0200-000011000000}"/>
    <hyperlink ref="H20" r:id="rId19" xr:uid="{00000000-0004-0000-0200-000012000000}"/>
    <hyperlink ref="H21" r:id="rId20" xr:uid="{00000000-0004-0000-0200-000013000000}"/>
    <hyperlink ref="H22" r:id="rId21" xr:uid="{00000000-0004-0000-0200-000014000000}"/>
    <hyperlink ref="H23" r:id="rId22" xr:uid="{00000000-0004-0000-0200-000015000000}"/>
    <hyperlink ref="H24" r:id="rId23" xr:uid="{00000000-0004-0000-0200-000016000000}"/>
    <hyperlink ref="H25" r:id="rId24" xr:uid="{00000000-0004-0000-0200-000017000000}"/>
    <hyperlink ref="H26" r:id="rId25" xr:uid="{00000000-0004-0000-0200-000018000000}"/>
    <hyperlink ref="H27" r:id="rId26" xr:uid="{00000000-0004-0000-0200-000019000000}"/>
    <hyperlink ref="H28" r:id="rId27" xr:uid="{00000000-0004-0000-0200-00001A000000}"/>
    <hyperlink ref="H29" r:id="rId28" xr:uid="{00000000-0004-0000-0200-00001B000000}"/>
    <hyperlink ref="H30" r:id="rId29" xr:uid="{00000000-0004-0000-0200-00001C000000}"/>
    <hyperlink ref="H31" r:id="rId30" xr:uid="{00000000-0004-0000-0200-00001D000000}"/>
    <hyperlink ref="H32" r:id="rId31" xr:uid="{00000000-0004-0000-0200-00001E000000}"/>
    <hyperlink ref="H33" r:id="rId32" xr:uid="{00000000-0004-0000-0200-00001F000000}"/>
    <hyperlink ref="H34" r:id="rId33" xr:uid="{00000000-0004-0000-0200-000020000000}"/>
    <hyperlink ref="H35" r:id="rId34" xr:uid="{00000000-0004-0000-0200-000021000000}"/>
    <hyperlink ref="H36" r:id="rId35" xr:uid="{00000000-0004-0000-0200-000022000000}"/>
    <hyperlink ref="H37" r:id="rId36" xr:uid="{00000000-0004-0000-0200-000023000000}"/>
    <hyperlink ref="H38" r:id="rId37" xr:uid="{00000000-0004-0000-0200-000024000000}"/>
    <hyperlink ref="H39" r:id="rId38" xr:uid="{00000000-0004-0000-0200-000025000000}"/>
    <hyperlink ref="H40" r:id="rId39" xr:uid="{00000000-0004-0000-0200-000026000000}"/>
    <hyperlink ref="H41" r:id="rId40" xr:uid="{00000000-0004-0000-0200-000027000000}"/>
    <hyperlink ref="H42" r:id="rId41" xr:uid="{00000000-0004-0000-0200-000028000000}"/>
    <hyperlink ref="H43" r:id="rId42" xr:uid="{00000000-0004-0000-0200-000029000000}"/>
    <hyperlink ref="H44" r:id="rId43" xr:uid="{00000000-0004-0000-0200-00002A000000}"/>
    <hyperlink ref="H45" r:id="rId44" xr:uid="{00000000-0004-0000-0200-00002B000000}"/>
    <hyperlink ref="H46" r:id="rId45" xr:uid="{00000000-0004-0000-0200-00002C000000}"/>
    <hyperlink ref="H47" r:id="rId46" xr:uid="{00000000-0004-0000-0200-00002D000000}"/>
    <hyperlink ref="H48" r:id="rId47" xr:uid="{00000000-0004-0000-0200-00002E000000}"/>
    <hyperlink ref="H49" r:id="rId48" xr:uid="{00000000-0004-0000-0200-00002F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
  <sheetViews>
    <sheetView workbookViewId="0">
      <pane xSplit="3" ySplit="1" topLeftCell="J6" activePane="bottomRight" state="frozen"/>
      <selection pane="topRight"/>
      <selection pane="bottomLeft"/>
      <selection pane="bottomRight" activeCell="N9" sqref="N9"/>
    </sheetView>
  </sheetViews>
  <sheetFormatPr baseColWidth="10" defaultColWidth="8.83203125" defaultRowHeight="15" x14ac:dyDescent="0.2"/>
  <cols>
    <col min="1" max="1" width="16" customWidth="1"/>
    <col min="2" max="2" width="6" customWidth="1"/>
    <col min="3" max="3" width="7" customWidth="1"/>
    <col min="4" max="4" width="40" customWidth="1"/>
    <col min="5" max="5" width="11" customWidth="1"/>
    <col min="6" max="6" width="60" customWidth="1"/>
    <col min="7" max="7" width="40" customWidth="1"/>
    <col min="8" max="8" width="30" customWidth="1"/>
    <col min="9" max="9" width="36" customWidth="1"/>
    <col min="10" max="10" width="50" customWidth="1"/>
    <col min="11" max="11" width="60" customWidth="1"/>
    <col min="12" max="12" width="18" customWidth="1"/>
    <col min="13" max="13" width="11" customWidth="1"/>
    <col min="14" max="14" width="9" customWidth="1"/>
    <col min="15" max="15" width="45" customWidth="1"/>
    <col min="16" max="16" width="14" hidden="1" customWidth="1"/>
  </cols>
  <sheetData>
    <row r="1" spans="1:16" ht="16" x14ac:dyDescent="0.2">
      <c r="A1" s="3" t="s">
        <v>17</v>
      </c>
      <c r="B1" s="3" t="s">
        <v>18</v>
      </c>
      <c r="C1" s="3" t="s">
        <v>19</v>
      </c>
      <c r="D1" s="3" t="s">
        <v>20</v>
      </c>
      <c r="E1" s="3" t="s">
        <v>21</v>
      </c>
      <c r="F1" s="3" t="s">
        <v>22</v>
      </c>
      <c r="G1" s="3" t="s">
        <v>23</v>
      </c>
      <c r="H1" s="3" t="s">
        <v>24</v>
      </c>
      <c r="I1" s="3" t="s">
        <v>25</v>
      </c>
      <c r="J1" s="3" t="s">
        <v>26</v>
      </c>
      <c r="K1" s="3" t="s">
        <v>27</v>
      </c>
      <c r="L1" s="3" t="s">
        <v>28</v>
      </c>
      <c r="M1" s="3" t="s">
        <v>29</v>
      </c>
      <c r="N1" s="3" t="s">
        <v>30</v>
      </c>
      <c r="O1" s="3" t="s">
        <v>31</v>
      </c>
      <c r="P1" s="3" t="s">
        <v>32</v>
      </c>
    </row>
    <row r="2" spans="1:16" ht="365" x14ac:dyDescent="0.2">
      <c r="A2" s="4" t="s">
        <v>33</v>
      </c>
      <c r="B2" s="4" t="s">
        <v>34</v>
      </c>
      <c r="C2" s="4" t="s">
        <v>330</v>
      </c>
      <c r="D2" s="4" t="s">
        <v>331</v>
      </c>
      <c r="E2" s="4" t="s">
        <v>37</v>
      </c>
      <c r="F2" s="4" t="s">
        <v>332</v>
      </c>
      <c r="G2" s="4" t="s">
        <v>333</v>
      </c>
      <c r="H2" s="5" t="s">
        <v>334</v>
      </c>
      <c r="I2" s="4" t="s">
        <v>335</v>
      </c>
      <c r="J2" s="4" t="s">
        <v>336</v>
      </c>
      <c r="K2" s="4" t="s">
        <v>337</v>
      </c>
      <c r="L2" s="4" t="s">
        <v>44</v>
      </c>
      <c r="M2" s="6" t="s">
        <v>97</v>
      </c>
      <c r="N2" s="6" t="s">
        <v>375</v>
      </c>
      <c r="O2" s="6"/>
      <c r="P2" s="4" t="s">
        <v>338</v>
      </c>
    </row>
    <row r="3" spans="1:16" ht="304" x14ac:dyDescent="0.2">
      <c r="A3" s="4" t="s">
        <v>54</v>
      </c>
      <c r="B3" s="4" t="s">
        <v>55</v>
      </c>
      <c r="C3" s="4" t="s">
        <v>330</v>
      </c>
      <c r="D3" s="4" t="s">
        <v>331</v>
      </c>
      <c r="E3" s="4" t="s">
        <v>37</v>
      </c>
      <c r="F3" s="4" t="s">
        <v>339</v>
      </c>
      <c r="G3" s="4" t="s">
        <v>333</v>
      </c>
      <c r="H3" s="5" t="s">
        <v>334</v>
      </c>
      <c r="I3" s="4" t="s">
        <v>335</v>
      </c>
      <c r="J3" s="4" t="s">
        <v>340</v>
      </c>
      <c r="K3" s="4" t="s">
        <v>341</v>
      </c>
      <c r="L3" s="4" t="s">
        <v>44</v>
      </c>
      <c r="M3" s="6" t="s">
        <v>97</v>
      </c>
      <c r="N3" s="6" t="s">
        <v>375</v>
      </c>
      <c r="O3" s="6"/>
      <c r="P3" s="4" t="s">
        <v>342</v>
      </c>
    </row>
    <row r="4" spans="1:16" ht="304" x14ac:dyDescent="0.2">
      <c r="A4" s="4" t="s">
        <v>105</v>
      </c>
      <c r="B4" s="4" t="s">
        <v>106</v>
      </c>
      <c r="C4" s="4" t="s">
        <v>330</v>
      </c>
      <c r="D4" s="4" t="s">
        <v>331</v>
      </c>
      <c r="E4" s="4" t="s">
        <v>37</v>
      </c>
      <c r="F4" s="4" t="s">
        <v>343</v>
      </c>
      <c r="G4" s="4" t="s">
        <v>333</v>
      </c>
      <c r="H4" s="5" t="s">
        <v>334</v>
      </c>
      <c r="I4" s="4" t="s">
        <v>335</v>
      </c>
      <c r="J4" s="4" t="s">
        <v>344</v>
      </c>
      <c r="K4" s="4" t="s">
        <v>345</v>
      </c>
      <c r="L4" s="4" t="s">
        <v>44</v>
      </c>
      <c r="M4" s="6" t="s">
        <v>97</v>
      </c>
      <c r="N4" s="6" t="s">
        <v>375</v>
      </c>
      <c r="O4" s="6"/>
      <c r="P4" s="4" t="s">
        <v>346</v>
      </c>
    </row>
    <row r="5" spans="1:16" ht="192" x14ac:dyDescent="0.2">
      <c r="A5" s="4" t="s">
        <v>54</v>
      </c>
      <c r="B5" s="4" t="s">
        <v>55</v>
      </c>
      <c r="C5" s="4" t="s">
        <v>60</v>
      </c>
      <c r="D5" s="4" t="s">
        <v>61</v>
      </c>
      <c r="E5" s="4" t="s">
        <v>37</v>
      </c>
      <c r="F5" s="4" t="s">
        <v>347</v>
      </c>
      <c r="G5" s="4" t="s">
        <v>348</v>
      </c>
      <c r="H5" s="5" t="s">
        <v>349</v>
      </c>
      <c r="I5" s="4" t="s">
        <v>350</v>
      </c>
      <c r="J5" s="4" t="s">
        <v>351</v>
      </c>
      <c r="K5" s="4" t="s">
        <v>352</v>
      </c>
      <c r="L5" s="4" t="s">
        <v>44</v>
      </c>
      <c r="M5" s="6" t="s">
        <v>97</v>
      </c>
      <c r="N5" s="6" t="s">
        <v>375</v>
      </c>
      <c r="O5" s="6"/>
      <c r="P5" s="4" t="s">
        <v>353</v>
      </c>
    </row>
    <row r="6" spans="1:16" ht="208" x14ac:dyDescent="0.2">
      <c r="A6" s="4" t="s">
        <v>105</v>
      </c>
      <c r="B6" s="4" t="s">
        <v>106</v>
      </c>
      <c r="C6" s="4" t="s">
        <v>60</v>
      </c>
      <c r="D6" s="4" t="s">
        <v>61</v>
      </c>
      <c r="E6" s="4" t="s">
        <v>37</v>
      </c>
      <c r="F6" s="4" t="s">
        <v>347</v>
      </c>
      <c r="G6" s="4" t="s">
        <v>348</v>
      </c>
      <c r="H6" s="5" t="s">
        <v>354</v>
      </c>
      <c r="I6" s="4" t="s">
        <v>355</v>
      </c>
      <c r="J6" s="4" t="s">
        <v>356</v>
      </c>
      <c r="K6" s="4" t="s">
        <v>357</v>
      </c>
      <c r="L6" s="4" t="s">
        <v>44</v>
      </c>
      <c r="M6" s="6" t="s">
        <v>97</v>
      </c>
      <c r="N6" s="6" t="s">
        <v>375</v>
      </c>
      <c r="O6" s="6"/>
      <c r="P6" s="4" t="s">
        <v>358</v>
      </c>
    </row>
    <row r="7" spans="1:16" ht="112" x14ac:dyDescent="0.2">
      <c r="A7" s="4" t="s">
        <v>33</v>
      </c>
      <c r="B7" s="4" t="s">
        <v>34</v>
      </c>
      <c r="C7" s="4" t="s">
        <v>359</v>
      </c>
      <c r="D7" s="4" t="s">
        <v>360</v>
      </c>
      <c r="E7" s="4" t="s">
        <v>37</v>
      </c>
      <c r="F7" s="4" t="s">
        <v>361</v>
      </c>
      <c r="G7" s="4" t="s">
        <v>362</v>
      </c>
      <c r="H7" s="5" t="s">
        <v>363</v>
      </c>
      <c r="I7" s="4" t="s">
        <v>364</v>
      </c>
      <c r="J7" s="4" t="s">
        <v>365</v>
      </c>
      <c r="K7" s="4" t="s">
        <v>366</v>
      </c>
      <c r="L7" s="4" t="s">
        <v>44</v>
      </c>
      <c r="M7" s="6" t="s">
        <v>97</v>
      </c>
      <c r="N7" s="6" t="s">
        <v>375</v>
      </c>
      <c r="O7" s="6"/>
      <c r="P7" s="4" t="s">
        <v>367</v>
      </c>
    </row>
    <row r="8" spans="1:16" ht="96" x14ac:dyDescent="0.2">
      <c r="A8" s="4" t="s">
        <v>54</v>
      </c>
      <c r="B8" s="4" t="s">
        <v>55</v>
      </c>
      <c r="C8" s="4" t="s">
        <v>359</v>
      </c>
      <c r="D8" s="4" t="s">
        <v>360</v>
      </c>
      <c r="E8" s="4" t="s">
        <v>37</v>
      </c>
      <c r="F8" s="4" t="s">
        <v>368</v>
      </c>
      <c r="G8" s="4" t="s">
        <v>362</v>
      </c>
      <c r="H8" s="5" t="s">
        <v>363</v>
      </c>
      <c r="I8" s="4" t="s">
        <v>364</v>
      </c>
      <c r="J8" s="4" t="s">
        <v>365</v>
      </c>
      <c r="K8" s="4" t="s">
        <v>369</v>
      </c>
      <c r="L8" s="4" t="s">
        <v>44</v>
      </c>
      <c r="M8" s="6" t="s">
        <v>97</v>
      </c>
      <c r="N8" s="6" t="s">
        <v>375</v>
      </c>
      <c r="O8" s="6"/>
      <c r="P8" s="4" t="s">
        <v>370</v>
      </c>
    </row>
    <row r="9" spans="1:16" ht="112" x14ac:dyDescent="0.2">
      <c r="A9" s="4" t="s">
        <v>105</v>
      </c>
      <c r="B9" s="4" t="s">
        <v>106</v>
      </c>
      <c r="C9" s="4" t="s">
        <v>359</v>
      </c>
      <c r="D9" s="4" t="s">
        <v>360</v>
      </c>
      <c r="E9" s="4" t="s">
        <v>37</v>
      </c>
      <c r="F9" s="4" t="s">
        <v>371</v>
      </c>
      <c r="G9" s="4" t="s">
        <v>362</v>
      </c>
      <c r="H9" s="5" t="s">
        <v>363</v>
      </c>
      <c r="I9" s="4" t="s">
        <v>364</v>
      </c>
      <c r="J9" s="4" t="s">
        <v>372</v>
      </c>
      <c r="K9" s="4" t="s">
        <v>373</v>
      </c>
      <c r="L9" s="4" t="s">
        <v>44</v>
      </c>
      <c r="M9" s="6" t="s">
        <v>97</v>
      </c>
      <c r="N9" s="6" t="s">
        <v>375</v>
      </c>
      <c r="O9" s="6"/>
      <c r="P9" s="4" t="s">
        <v>374</v>
      </c>
    </row>
  </sheetData>
  <sheetProtection formatColumns="0" formatRows="0" autoFilter="0"/>
  <autoFilter ref="A1:O9" xr:uid="{00000000-0009-0000-0000-000003000000}"/>
  <dataValidations count="2">
    <dataValidation type="list" allowBlank="1" showErrorMessage="1" errorTitle="Aprobado" error="Elegí &quot;sí&quot; o &quot;no&quot;." sqref="M2:M9" xr:uid="{00000000-0002-0000-0300-000000000000}">
      <formula1>"sí,no"</formula1>
    </dataValidation>
    <dataValidation type="list" allowBlank="1" showErrorMessage="1" errorTitle="Revisó" error="Elegí G (Giuliano) o A (Agustina)." sqref="N2:N9" xr:uid="{00000000-0002-0000-0300-000001000000}">
      <formula1>"G,A"</formula1>
    </dataValidation>
  </dataValidations>
  <hyperlinks>
    <hyperlink ref="H2" r:id="rId1" xr:uid="{00000000-0004-0000-0300-000000000000}"/>
    <hyperlink ref="H3" r:id="rId2" xr:uid="{00000000-0004-0000-0300-000001000000}"/>
    <hyperlink ref="H4" r:id="rId3" xr:uid="{00000000-0004-0000-0300-000002000000}"/>
    <hyperlink ref="H5" r:id="rId4" xr:uid="{00000000-0004-0000-0300-000003000000}"/>
    <hyperlink ref="H6" r:id="rId5" xr:uid="{00000000-0004-0000-0300-000004000000}"/>
    <hyperlink ref="H7" r:id="rId6" xr:uid="{00000000-0004-0000-0300-000005000000}"/>
    <hyperlink ref="H8" r:id="rId7" xr:uid="{00000000-0004-0000-0300-000006000000}"/>
    <hyperlink ref="H9" r:id="rId8" xr:uid="{00000000-0004-0000-0300-000007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Revisión completa</vt:lpstr>
      <vt:lpstr>Muestreo</vt:lpstr>
      <vt:lpstr>Resto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2026-10-28T02:53:57Z</dcterms:created>
  <dcterms:modified xsi:type="dcterms:W3CDTF">2026-10-28T18:13:18Z</dcterms:modified>
</cp:coreProperties>
</file>